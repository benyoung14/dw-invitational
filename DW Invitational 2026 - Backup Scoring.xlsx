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private/tmp/claude-501/-Users-benyoung-Desktop-Claude-System/96405c81-27de-4fd0-afb7-da8234631f9c/scratchpad/"/>
    </mc:Choice>
  </mc:AlternateContent>
  <xr:revisionPtr revIDLastSave="0" documentId="13_ncr:1_{3557D1BB-E91E-5F47-B0F0-1DF6046BA65D}" xr6:coauthVersionLast="47" xr6:coauthVersionMax="47" xr10:uidLastSave="{00000000-0000-0000-0000-000000000000}"/>
  <bookViews>
    <workbookView xWindow="0" yWindow="600" windowWidth="38400" windowHeight="19820" activeTab="1" xr2:uid="{00000000-000D-0000-FFFF-FFFF00000000}"/>
  </bookViews>
  <sheets>
    <sheet name="How To Use" sheetId="1" r:id="rId1"/>
    <sheet name="Leaderboard" sheetId="2" r:id="rId2"/>
    <sheet name="Skins" sheetId="3" r:id="rId3"/>
    <sheet name="R1 Watson" sheetId="4" r:id="rId4"/>
    <sheet name="R2 Palmer" sheetId="5" r:id="rId5"/>
    <sheet name="R3 Nicklaus" sheetId="6" r:id="rId6"/>
    <sheet name="Player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7" l="1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8" i="6" s="1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AC22" i="6"/>
  <c r="AB22" i="6"/>
  <c r="F66" i="2" s="1"/>
  <c r="AA22" i="6"/>
  <c r="Z22" i="6"/>
  <c r="Y22" i="6"/>
  <c r="AF22" i="6" s="1"/>
  <c r="X22" i="6"/>
  <c r="D22" i="6"/>
  <c r="C22" i="6"/>
  <c r="B22" i="6"/>
  <c r="A22" i="6"/>
  <c r="AC21" i="6"/>
  <c r="AB21" i="6"/>
  <c r="F65" i="2" s="1"/>
  <c r="AA21" i="6"/>
  <c r="Z21" i="6"/>
  <c r="Y21" i="6"/>
  <c r="AF21" i="6" s="1"/>
  <c r="X21" i="6"/>
  <c r="D21" i="6"/>
  <c r="C21" i="6"/>
  <c r="B21" i="6"/>
  <c r="A21" i="6"/>
  <c r="AC20" i="6"/>
  <c r="AB20" i="6"/>
  <c r="F64" i="2" s="1"/>
  <c r="AA20" i="6"/>
  <c r="Z20" i="6"/>
  <c r="Y20" i="6"/>
  <c r="AF20" i="6" s="1"/>
  <c r="X20" i="6"/>
  <c r="D20" i="6"/>
  <c r="C20" i="6"/>
  <c r="B20" i="6"/>
  <c r="A20" i="6"/>
  <c r="AC19" i="6"/>
  <c r="AB19" i="6"/>
  <c r="F63" i="2" s="1"/>
  <c r="AA19" i="6"/>
  <c r="Z19" i="6"/>
  <c r="Y19" i="6"/>
  <c r="AF19" i="6" s="1"/>
  <c r="X19" i="6"/>
  <c r="D19" i="6"/>
  <c r="C19" i="6"/>
  <c r="B19" i="6"/>
  <c r="A19" i="6"/>
  <c r="AC18" i="6"/>
  <c r="AB18" i="6"/>
  <c r="F62" i="2" s="1"/>
  <c r="AA18" i="6"/>
  <c r="Z18" i="6"/>
  <c r="Y18" i="6"/>
  <c r="AF18" i="6" s="1"/>
  <c r="X18" i="6"/>
  <c r="D18" i="6"/>
  <c r="C18" i="6"/>
  <c r="B18" i="6"/>
  <c r="A18" i="6"/>
  <c r="AC17" i="6"/>
  <c r="AB17" i="6"/>
  <c r="F61" i="2" s="1"/>
  <c r="AA17" i="6"/>
  <c r="Z17" i="6"/>
  <c r="Y17" i="6"/>
  <c r="AF17" i="6" s="1"/>
  <c r="X17" i="6"/>
  <c r="D17" i="6"/>
  <c r="C17" i="6"/>
  <c r="B17" i="6"/>
  <c r="A17" i="6"/>
  <c r="AC16" i="6"/>
  <c r="AB16" i="6"/>
  <c r="F60" i="2" s="1"/>
  <c r="AA16" i="6"/>
  <c r="Z16" i="6"/>
  <c r="Y16" i="6"/>
  <c r="AF16" i="6" s="1"/>
  <c r="X16" i="6"/>
  <c r="D16" i="6"/>
  <c r="C16" i="6"/>
  <c r="B16" i="6"/>
  <c r="A16" i="6"/>
  <c r="AC15" i="6"/>
  <c r="AB15" i="6"/>
  <c r="F59" i="2" s="1"/>
  <c r="AA15" i="6"/>
  <c r="Z15" i="6"/>
  <c r="Y15" i="6"/>
  <c r="AF15" i="6" s="1"/>
  <c r="X15" i="6"/>
  <c r="D15" i="6"/>
  <c r="C15" i="6"/>
  <c r="B15" i="6"/>
  <c r="A15" i="6"/>
  <c r="AC14" i="6"/>
  <c r="AB14" i="6"/>
  <c r="F58" i="2" s="1"/>
  <c r="AA14" i="6"/>
  <c r="Z14" i="6"/>
  <c r="Y14" i="6"/>
  <c r="AF14" i="6" s="1"/>
  <c r="X14" i="6"/>
  <c r="D14" i="6"/>
  <c r="C14" i="6"/>
  <c r="B14" i="6"/>
  <c r="A14" i="6"/>
  <c r="AC13" i="6"/>
  <c r="AB13" i="6"/>
  <c r="F57" i="2" s="1"/>
  <c r="AA13" i="6"/>
  <c r="Z13" i="6"/>
  <c r="Y13" i="6"/>
  <c r="AF13" i="6" s="1"/>
  <c r="X13" i="6"/>
  <c r="D13" i="6"/>
  <c r="C13" i="6"/>
  <c r="B13" i="6"/>
  <c r="A13" i="6"/>
  <c r="AC12" i="6"/>
  <c r="AB12" i="6"/>
  <c r="F56" i="2" s="1"/>
  <c r="AA12" i="6"/>
  <c r="Z12" i="6"/>
  <c r="Y12" i="6"/>
  <c r="AF12" i="6" s="1"/>
  <c r="X12" i="6"/>
  <c r="D12" i="6"/>
  <c r="C12" i="6"/>
  <c r="B12" i="6"/>
  <c r="A12" i="6"/>
  <c r="AC11" i="6"/>
  <c r="AB11" i="6"/>
  <c r="F55" i="2" s="1"/>
  <c r="AA11" i="6"/>
  <c r="Z11" i="6"/>
  <c r="Y11" i="6"/>
  <c r="AF11" i="6" s="1"/>
  <c r="X11" i="6"/>
  <c r="D11" i="6"/>
  <c r="C11" i="6"/>
  <c r="B11" i="6"/>
  <c r="A11" i="6"/>
  <c r="AC10" i="6"/>
  <c r="AB10" i="6"/>
  <c r="F54" i="2" s="1"/>
  <c r="AA10" i="6"/>
  <c r="Z10" i="6"/>
  <c r="Y10" i="6"/>
  <c r="AF10" i="6" s="1"/>
  <c r="X10" i="6"/>
  <c r="D10" i="6"/>
  <c r="C10" i="6"/>
  <c r="B10" i="6"/>
  <c r="A10" i="6"/>
  <c r="AC9" i="6"/>
  <c r="AB9" i="6"/>
  <c r="F53" i="2" s="1"/>
  <c r="AA9" i="6"/>
  <c r="Z9" i="6"/>
  <c r="Y9" i="6"/>
  <c r="AF9" i="6" s="1"/>
  <c r="X9" i="6"/>
  <c r="D9" i="6"/>
  <c r="C9" i="6"/>
  <c r="B9" i="6"/>
  <c r="A9" i="6"/>
  <c r="AC8" i="6"/>
  <c r="AB8" i="6"/>
  <c r="F52" i="2" s="1"/>
  <c r="AA8" i="6"/>
  <c r="Z8" i="6"/>
  <c r="Y8" i="6"/>
  <c r="AF8" i="6" s="1"/>
  <c r="X8" i="6"/>
  <c r="C8" i="6"/>
  <c r="B8" i="6"/>
  <c r="A8" i="6"/>
  <c r="X5" i="6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AC17" i="5" s="1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AC16" i="5" s="1"/>
  <c r="H60" i="2" s="1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AC15" i="5" s="1"/>
  <c r="I71" i="5"/>
  <c r="H71" i="5"/>
  <c r="G71" i="5"/>
  <c r="F71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W58" i="5"/>
  <c r="W87" i="5" s="1"/>
  <c r="V58" i="5"/>
  <c r="V87" i="5" s="1"/>
  <c r="U58" i="5"/>
  <c r="U87" i="5" s="1"/>
  <c r="T58" i="5"/>
  <c r="T87" i="5" s="1"/>
  <c r="S58" i="5"/>
  <c r="S87" i="5" s="1"/>
  <c r="R58" i="5"/>
  <c r="R87" i="5" s="1"/>
  <c r="Q58" i="5"/>
  <c r="Q87" i="5" s="1"/>
  <c r="P58" i="5"/>
  <c r="P87" i="5" s="1"/>
  <c r="O58" i="5"/>
  <c r="O87" i="5" s="1"/>
  <c r="N58" i="5"/>
  <c r="N87" i="5" s="1"/>
  <c r="M58" i="5"/>
  <c r="M87" i="5" s="1"/>
  <c r="L58" i="5"/>
  <c r="L87" i="5" s="1"/>
  <c r="K58" i="5"/>
  <c r="K87" i="5" s="1"/>
  <c r="J58" i="5"/>
  <c r="J87" i="5" s="1"/>
  <c r="I58" i="5"/>
  <c r="I87" i="5" s="1"/>
  <c r="H58" i="5"/>
  <c r="H87" i="5" s="1"/>
  <c r="G58" i="5"/>
  <c r="G87" i="5" s="1"/>
  <c r="F58" i="5"/>
  <c r="F87" i="5" s="1"/>
  <c r="X87" i="5" s="1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W56" i="5"/>
  <c r="V56" i="5"/>
  <c r="U56" i="5"/>
  <c r="T56" i="5"/>
  <c r="S56" i="5"/>
  <c r="R56" i="5"/>
  <c r="Q56" i="5"/>
  <c r="P56" i="5"/>
  <c r="O56" i="5"/>
  <c r="O86" i="5" s="1"/>
  <c r="N56" i="5"/>
  <c r="N86" i="5" s="1"/>
  <c r="M56" i="5"/>
  <c r="M86" i="5" s="1"/>
  <c r="L56" i="5"/>
  <c r="L86" i="5" s="1"/>
  <c r="K56" i="5"/>
  <c r="K86" i="5" s="1"/>
  <c r="J56" i="5"/>
  <c r="J86" i="5" s="1"/>
  <c r="I56" i="5"/>
  <c r="I86" i="5" s="1"/>
  <c r="H56" i="5"/>
  <c r="H86" i="5" s="1"/>
  <c r="G56" i="5"/>
  <c r="G86" i="5" s="1"/>
  <c r="F56" i="5"/>
  <c r="F86" i="5" s="1"/>
  <c r="W55" i="5"/>
  <c r="W86" i="5" s="1"/>
  <c r="V55" i="5"/>
  <c r="V86" i="5" s="1"/>
  <c r="U55" i="5"/>
  <c r="U86" i="5" s="1"/>
  <c r="T55" i="5"/>
  <c r="T86" i="5" s="1"/>
  <c r="S55" i="5"/>
  <c r="S86" i="5" s="1"/>
  <c r="R55" i="5"/>
  <c r="R86" i="5" s="1"/>
  <c r="Q55" i="5"/>
  <c r="Q86" i="5" s="1"/>
  <c r="P55" i="5"/>
  <c r="P86" i="5" s="1"/>
  <c r="O55" i="5"/>
  <c r="N55" i="5"/>
  <c r="M55" i="5"/>
  <c r="L55" i="5"/>
  <c r="K55" i="5"/>
  <c r="J55" i="5"/>
  <c r="I55" i="5"/>
  <c r="H55" i="5"/>
  <c r="G55" i="5"/>
  <c r="F55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W52" i="5"/>
  <c r="W85" i="5" s="1"/>
  <c r="V52" i="5"/>
  <c r="V85" i="5" s="1"/>
  <c r="U52" i="5"/>
  <c r="U85" i="5" s="1"/>
  <c r="T52" i="5"/>
  <c r="T85" i="5" s="1"/>
  <c r="S52" i="5"/>
  <c r="S85" i="5" s="1"/>
  <c r="R52" i="5"/>
  <c r="R85" i="5" s="1"/>
  <c r="Q52" i="5"/>
  <c r="Q85" i="5" s="1"/>
  <c r="P52" i="5"/>
  <c r="P85" i="5" s="1"/>
  <c r="O52" i="5"/>
  <c r="O85" i="5" s="1"/>
  <c r="N52" i="5"/>
  <c r="N85" i="5" s="1"/>
  <c r="M52" i="5"/>
  <c r="M85" i="5" s="1"/>
  <c r="L52" i="5"/>
  <c r="L85" i="5" s="1"/>
  <c r="K52" i="5"/>
  <c r="K85" i="5" s="1"/>
  <c r="J52" i="5"/>
  <c r="J85" i="5" s="1"/>
  <c r="I52" i="5"/>
  <c r="I85" i="5" s="1"/>
  <c r="H52" i="5"/>
  <c r="H85" i="5" s="1"/>
  <c r="G52" i="5"/>
  <c r="G85" i="5" s="1"/>
  <c r="F52" i="5"/>
  <c r="F85" i="5" s="1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W49" i="5"/>
  <c r="W84" i="5" s="1"/>
  <c r="V49" i="5"/>
  <c r="V84" i="5" s="1"/>
  <c r="U49" i="5"/>
  <c r="U84" i="5" s="1"/>
  <c r="T49" i="5"/>
  <c r="T84" i="5" s="1"/>
  <c r="S49" i="5"/>
  <c r="S84" i="5" s="1"/>
  <c r="R49" i="5"/>
  <c r="R84" i="5" s="1"/>
  <c r="Q49" i="5"/>
  <c r="Q84" i="5" s="1"/>
  <c r="P49" i="5"/>
  <c r="P84" i="5" s="1"/>
  <c r="O49" i="5"/>
  <c r="O84" i="5" s="1"/>
  <c r="N49" i="5"/>
  <c r="N84" i="5" s="1"/>
  <c r="M49" i="5"/>
  <c r="M84" i="5" s="1"/>
  <c r="L49" i="5"/>
  <c r="L84" i="5" s="1"/>
  <c r="K49" i="5"/>
  <c r="K84" i="5" s="1"/>
  <c r="J49" i="5"/>
  <c r="J84" i="5" s="1"/>
  <c r="I49" i="5"/>
  <c r="I84" i="5" s="1"/>
  <c r="H49" i="5"/>
  <c r="H84" i="5" s="1"/>
  <c r="G49" i="5"/>
  <c r="G84" i="5" s="1"/>
  <c r="F49" i="5"/>
  <c r="F84" i="5" s="1"/>
  <c r="X84" i="5" s="1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W46" i="5"/>
  <c r="W83" i="5" s="1"/>
  <c r="V46" i="5"/>
  <c r="V83" i="5" s="1"/>
  <c r="U46" i="5"/>
  <c r="U83" i="5" s="1"/>
  <c r="T46" i="5"/>
  <c r="T83" i="5" s="1"/>
  <c r="S46" i="5"/>
  <c r="S83" i="5" s="1"/>
  <c r="R46" i="5"/>
  <c r="R83" i="5" s="1"/>
  <c r="Q46" i="5"/>
  <c r="Q83" i="5" s="1"/>
  <c r="P46" i="5"/>
  <c r="P83" i="5" s="1"/>
  <c r="O46" i="5"/>
  <c r="O83" i="5" s="1"/>
  <c r="N46" i="5"/>
  <c r="N83" i="5" s="1"/>
  <c r="M46" i="5"/>
  <c r="M83" i="5" s="1"/>
  <c r="L46" i="5"/>
  <c r="L83" i="5" s="1"/>
  <c r="K46" i="5"/>
  <c r="K83" i="5" s="1"/>
  <c r="J46" i="5"/>
  <c r="J83" i="5" s="1"/>
  <c r="I46" i="5"/>
  <c r="I83" i="5" s="1"/>
  <c r="H46" i="5"/>
  <c r="H83" i="5" s="1"/>
  <c r="G46" i="5"/>
  <c r="G83" i="5" s="1"/>
  <c r="F46" i="5"/>
  <c r="F83" i="5" s="1"/>
  <c r="X83" i="5" s="1"/>
  <c r="AC22" i="5"/>
  <c r="AB22" i="5"/>
  <c r="AA22" i="5"/>
  <c r="Z22" i="5"/>
  <c r="Y22" i="5"/>
  <c r="X22" i="5"/>
  <c r="C22" i="5"/>
  <c r="B22" i="5"/>
  <c r="A22" i="5"/>
  <c r="AC21" i="5"/>
  <c r="AB21" i="5"/>
  <c r="E65" i="2" s="1"/>
  <c r="AA21" i="5"/>
  <c r="Z21" i="5"/>
  <c r="Y21" i="5"/>
  <c r="X21" i="5"/>
  <c r="D21" i="5"/>
  <c r="C21" i="5"/>
  <c r="B21" i="5"/>
  <c r="A21" i="5"/>
  <c r="AC20" i="5"/>
  <c r="AB20" i="5"/>
  <c r="E64" i="2" s="1"/>
  <c r="AA20" i="5"/>
  <c r="Z20" i="5"/>
  <c r="Y20" i="5"/>
  <c r="X20" i="5"/>
  <c r="D20" i="5"/>
  <c r="C20" i="5"/>
  <c r="B20" i="5"/>
  <c r="A87" i="5" s="1"/>
  <c r="A20" i="5"/>
  <c r="AC19" i="5"/>
  <c r="AB19" i="5"/>
  <c r="E63" i="2" s="1"/>
  <c r="AA19" i="5"/>
  <c r="Z19" i="5"/>
  <c r="Y19" i="5"/>
  <c r="X19" i="5"/>
  <c r="D19" i="5"/>
  <c r="C19" i="5"/>
  <c r="B19" i="5"/>
  <c r="A19" i="5"/>
  <c r="AC18" i="5"/>
  <c r="AB18" i="5"/>
  <c r="E62" i="2" s="1"/>
  <c r="AA18" i="5"/>
  <c r="Z18" i="5"/>
  <c r="Y18" i="5"/>
  <c r="X18" i="5"/>
  <c r="D18" i="5"/>
  <c r="C18" i="5"/>
  <c r="B18" i="5"/>
  <c r="A18" i="5"/>
  <c r="AB17" i="5"/>
  <c r="E61" i="2" s="1"/>
  <c r="AA17" i="5"/>
  <c r="Z17" i="5"/>
  <c r="Y17" i="5"/>
  <c r="X17" i="5"/>
  <c r="D17" i="5"/>
  <c r="C17" i="5"/>
  <c r="B17" i="5"/>
  <c r="A86" i="5" s="1"/>
  <c r="A17" i="5"/>
  <c r="AB16" i="5"/>
  <c r="E60" i="2" s="1"/>
  <c r="AA16" i="5"/>
  <c r="Z16" i="5"/>
  <c r="Y16" i="5"/>
  <c r="X16" i="5"/>
  <c r="D16" i="5"/>
  <c r="C16" i="5"/>
  <c r="B16" i="5"/>
  <c r="A16" i="5"/>
  <c r="AB15" i="5"/>
  <c r="E59" i="2" s="1"/>
  <c r="AA15" i="5"/>
  <c r="Z15" i="5"/>
  <c r="Y15" i="5"/>
  <c r="X15" i="5"/>
  <c r="D15" i="5"/>
  <c r="C15" i="5"/>
  <c r="B15" i="5"/>
  <c r="A15" i="5"/>
  <c r="AC14" i="5"/>
  <c r="AB14" i="5"/>
  <c r="E58" i="2" s="1"/>
  <c r="AA14" i="5"/>
  <c r="Z14" i="5"/>
  <c r="Y14" i="5"/>
  <c r="X14" i="5"/>
  <c r="D14" i="5"/>
  <c r="C14" i="5"/>
  <c r="B14" i="5"/>
  <c r="A85" i="5" s="1"/>
  <c r="A14" i="5"/>
  <c r="AC13" i="5"/>
  <c r="AB13" i="5"/>
  <c r="E57" i="2" s="1"/>
  <c r="AA13" i="5"/>
  <c r="Z13" i="5"/>
  <c r="Y13" i="5"/>
  <c r="X13" i="5"/>
  <c r="D13" i="5"/>
  <c r="C13" i="5"/>
  <c r="B13" i="5"/>
  <c r="A13" i="5"/>
  <c r="AC12" i="5"/>
  <c r="AB12" i="5"/>
  <c r="E56" i="2" s="1"/>
  <c r="AA12" i="5"/>
  <c r="Z12" i="5"/>
  <c r="Y12" i="5"/>
  <c r="X12" i="5"/>
  <c r="D12" i="5"/>
  <c r="C12" i="5"/>
  <c r="B12" i="5"/>
  <c r="A12" i="5"/>
  <c r="AC11" i="5"/>
  <c r="AB11" i="5"/>
  <c r="E55" i="2" s="1"/>
  <c r="AA11" i="5"/>
  <c r="Z11" i="5"/>
  <c r="Y11" i="5"/>
  <c r="X11" i="5"/>
  <c r="D11" i="5"/>
  <c r="C11" i="5"/>
  <c r="B11" i="5"/>
  <c r="A84" i="5" s="1"/>
  <c r="A11" i="5"/>
  <c r="AC10" i="5"/>
  <c r="AB10" i="5"/>
  <c r="E54" i="2" s="1"/>
  <c r="AA10" i="5"/>
  <c r="Z10" i="5"/>
  <c r="Y10" i="5"/>
  <c r="X10" i="5"/>
  <c r="D10" i="5"/>
  <c r="C10" i="5"/>
  <c r="B10" i="5"/>
  <c r="A10" i="5"/>
  <c r="AC9" i="5"/>
  <c r="AB9" i="5"/>
  <c r="E53" i="2" s="1"/>
  <c r="AA9" i="5"/>
  <c r="Z9" i="5"/>
  <c r="Y9" i="5"/>
  <c r="X9" i="5"/>
  <c r="D9" i="5"/>
  <c r="C9" i="5"/>
  <c r="B9" i="5"/>
  <c r="A9" i="5"/>
  <c r="AC8" i="5"/>
  <c r="AB8" i="5"/>
  <c r="E52" i="2" s="1"/>
  <c r="AA8" i="5"/>
  <c r="Z8" i="5"/>
  <c r="Y8" i="5"/>
  <c r="X8" i="5"/>
  <c r="D8" i="5"/>
  <c r="C8" i="5"/>
  <c r="B8" i="5"/>
  <c r="A83" i="5" s="1"/>
  <c r="A8" i="5"/>
  <c r="X5" i="5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W58" i="4"/>
  <c r="W87" i="4" s="1"/>
  <c r="V58" i="4"/>
  <c r="V87" i="4" s="1"/>
  <c r="U58" i="4"/>
  <c r="U87" i="4" s="1"/>
  <c r="T58" i="4"/>
  <c r="T87" i="4" s="1"/>
  <c r="S58" i="4"/>
  <c r="S87" i="4" s="1"/>
  <c r="R58" i="4"/>
  <c r="R87" i="4" s="1"/>
  <c r="Q58" i="4"/>
  <c r="Q87" i="4" s="1"/>
  <c r="P58" i="4"/>
  <c r="P87" i="4" s="1"/>
  <c r="O58" i="4"/>
  <c r="O87" i="4" s="1"/>
  <c r="N58" i="4"/>
  <c r="N87" i="4" s="1"/>
  <c r="M58" i="4"/>
  <c r="M87" i="4" s="1"/>
  <c r="L58" i="4"/>
  <c r="L87" i="4" s="1"/>
  <c r="K58" i="4"/>
  <c r="K87" i="4" s="1"/>
  <c r="J58" i="4"/>
  <c r="J87" i="4" s="1"/>
  <c r="I58" i="4"/>
  <c r="I87" i="4" s="1"/>
  <c r="H58" i="4"/>
  <c r="H87" i="4" s="1"/>
  <c r="G58" i="4"/>
  <c r="G87" i="4" s="1"/>
  <c r="F58" i="4"/>
  <c r="F87" i="4" s="1"/>
  <c r="X87" i="4" s="1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W55" i="4"/>
  <c r="W86" i="4" s="1"/>
  <c r="V55" i="4"/>
  <c r="V86" i="4" s="1"/>
  <c r="U55" i="4"/>
  <c r="U86" i="4" s="1"/>
  <c r="T55" i="4"/>
  <c r="T86" i="4" s="1"/>
  <c r="S55" i="4"/>
  <c r="S86" i="4" s="1"/>
  <c r="R55" i="4"/>
  <c r="R86" i="4" s="1"/>
  <c r="Q55" i="4"/>
  <c r="Q86" i="4" s="1"/>
  <c r="P55" i="4"/>
  <c r="P86" i="4" s="1"/>
  <c r="O55" i="4"/>
  <c r="O86" i="4" s="1"/>
  <c r="N55" i="4"/>
  <c r="N86" i="4" s="1"/>
  <c r="M55" i="4"/>
  <c r="M86" i="4" s="1"/>
  <c r="L55" i="4"/>
  <c r="L86" i="4" s="1"/>
  <c r="K55" i="4"/>
  <c r="K86" i="4" s="1"/>
  <c r="J55" i="4"/>
  <c r="J86" i="4" s="1"/>
  <c r="I55" i="4"/>
  <c r="I86" i="4" s="1"/>
  <c r="H55" i="4"/>
  <c r="H86" i="4" s="1"/>
  <c r="G55" i="4"/>
  <c r="G86" i="4" s="1"/>
  <c r="F55" i="4"/>
  <c r="F86" i="4" s="1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W52" i="4"/>
  <c r="W85" i="4" s="1"/>
  <c r="V52" i="4"/>
  <c r="V85" i="4" s="1"/>
  <c r="U52" i="4"/>
  <c r="U85" i="4" s="1"/>
  <c r="T52" i="4"/>
  <c r="T85" i="4" s="1"/>
  <c r="S52" i="4"/>
  <c r="S85" i="4" s="1"/>
  <c r="R52" i="4"/>
  <c r="R85" i="4" s="1"/>
  <c r="Q52" i="4"/>
  <c r="Q85" i="4" s="1"/>
  <c r="P52" i="4"/>
  <c r="P85" i="4" s="1"/>
  <c r="O52" i="4"/>
  <c r="O85" i="4" s="1"/>
  <c r="N52" i="4"/>
  <c r="N85" i="4" s="1"/>
  <c r="M52" i="4"/>
  <c r="M85" i="4" s="1"/>
  <c r="L52" i="4"/>
  <c r="L85" i="4" s="1"/>
  <c r="K52" i="4"/>
  <c r="K85" i="4" s="1"/>
  <c r="J52" i="4"/>
  <c r="J85" i="4" s="1"/>
  <c r="I52" i="4"/>
  <c r="I85" i="4" s="1"/>
  <c r="H52" i="4"/>
  <c r="H85" i="4" s="1"/>
  <c r="G52" i="4"/>
  <c r="G85" i="4" s="1"/>
  <c r="F52" i="4"/>
  <c r="F85" i="4" s="1"/>
  <c r="X85" i="4" s="1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W49" i="4"/>
  <c r="W84" i="4" s="1"/>
  <c r="V49" i="4"/>
  <c r="V84" i="4" s="1"/>
  <c r="U49" i="4"/>
  <c r="U84" i="4" s="1"/>
  <c r="T49" i="4"/>
  <c r="T84" i="4" s="1"/>
  <c r="S49" i="4"/>
  <c r="S84" i="4" s="1"/>
  <c r="R49" i="4"/>
  <c r="R84" i="4" s="1"/>
  <c r="Q49" i="4"/>
  <c r="Q84" i="4" s="1"/>
  <c r="P49" i="4"/>
  <c r="P84" i="4" s="1"/>
  <c r="O49" i="4"/>
  <c r="O84" i="4" s="1"/>
  <c r="N49" i="4"/>
  <c r="N84" i="4" s="1"/>
  <c r="M49" i="4"/>
  <c r="M84" i="4" s="1"/>
  <c r="L49" i="4"/>
  <c r="L84" i="4" s="1"/>
  <c r="K49" i="4"/>
  <c r="K84" i="4" s="1"/>
  <c r="J49" i="4"/>
  <c r="J84" i="4" s="1"/>
  <c r="I49" i="4"/>
  <c r="I84" i="4" s="1"/>
  <c r="H49" i="4"/>
  <c r="H84" i="4" s="1"/>
  <c r="G49" i="4"/>
  <c r="G84" i="4" s="1"/>
  <c r="F49" i="4"/>
  <c r="F84" i="4" s="1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W46" i="4"/>
  <c r="W83" i="4" s="1"/>
  <c r="V46" i="4"/>
  <c r="V83" i="4" s="1"/>
  <c r="U46" i="4"/>
  <c r="U83" i="4" s="1"/>
  <c r="T46" i="4"/>
  <c r="T83" i="4" s="1"/>
  <c r="S46" i="4"/>
  <c r="S83" i="4" s="1"/>
  <c r="R46" i="4"/>
  <c r="R83" i="4" s="1"/>
  <c r="Q46" i="4"/>
  <c r="Q83" i="4" s="1"/>
  <c r="P46" i="4"/>
  <c r="P83" i="4" s="1"/>
  <c r="O46" i="4"/>
  <c r="O83" i="4" s="1"/>
  <c r="N46" i="4"/>
  <c r="N83" i="4" s="1"/>
  <c r="M46" i="4"/>
  <c r="M83" i="4" s="1"/>
  <c r="L46" i="4"/>
  <c r="L83" i="4" s="1"/>
  <c r="K46" i="4"/>
  <c r="K83" i="4" s="1"/>
  <c r="J46" i="4"/>
  <c r="J83" i="4" s="1"/>
  <c r="I46" i="4"/>
  <c r="I83" i="4" s="1"/>
  <c r="H46" i="4"/>
  <c r="H83" i="4" s="1"/>
  <c r="G46" i="4"/>
  <c r="G83" i="4" s="1"/>
  <c r="F46" i="4"/>
  <c r="F83" i="4" s="1"/>
  <c r="X83" i="4" s="1"/>
  <c r="AC22" i="4"/>
  <c r="H66" i="2" s="1"/>
  <c r="AB22" i="4"/>
  <c r="AA22" i="4"/>
  <c r="Z22" i="4"/>
  <c r="Y22" i="4"/>
  <c r="X22" i="4"/>
  <c r="C22" i="4"/>
  <c r="B22" i="4"/>
  <c r="A22" i="4"/>
  <c r="AC21" i="4"/>
  <c r="H65" i="2" s="1"/>
  <c r="AB21" i="4"/>
  <c r="D65" i="2" s="1"/>
  <c r="AA21" i="4"/>
  <c r="Z21" i="4"/>
  <c r="Y21" i="4"/>
  <c r="X21" i="4"/>
  <c r="D21" i="4"/>
  <c r="C21" i="4"/>
  <c r="B21" i="4"/>
  <c r="A21" i="4"/>
  <c r="AC20" i="4"/>
  <c r="H64" i="2" s="1"/>
  <c r="AB20" i="4"/>
  <c r="D64" i="2" s="1"/>
  <c r="AA20" i="4"/>
  <c r="Z20" i="4"/>
  <c r="Y20" i="4"/>
  <c r="X20" i="4"/>
  <c r="D20" i="4"/>
  <c r="C20" i="4"/>
  <c r="B20" i="4"/>
  <c r="A87" i="4" s="1"/>
  <c r="A20" i="4"/>
  <c r="AC19" i="4"/>
  <c r="H63" i="2" s="1"/>
  <c r="AB19" i="4"/>
  <c r="D63" i="2" s="1"/>
  <c r="AA19" i="4"/>
  <c r="Z19" i="4"/>
  <c r="Y19" i="4"/>
  <c r="X19" i="4"/>
  <c r="D19" i="4"/>
  <c r="C19" i="4"/>
  <c r="B19" i="4"/>
  <c r="A19" i="4"/>
  <c r="AC18" i="4"/>
  <c r="H62" i="2" s="1"/>
  <c r="AB18" i="4"/>
  <c r="D62" i="2" s="1"/>
  <c r="AA18" i="4"/>
  <c r="Z18" i="4"/>
  <c r="Y18" i="4"/>
  <c r="X18" i="4"/>
  <c r="D18" i="4"/>
  <c r="C18" i="4"/>
  <c r="B18" i="4"/>
  <c r="A18" i="4"/>
  <c r="AC17" i="4"/>
  <c r="AB17" i="4"/>
  <c r="D61" i="2" s="1"/>
  <c r="AA17" i="4"/>
  <c r="Z17" i="4"/>
  <c r="Y17" i="4"/>
  <c r="X17" i="4"/>
  <c r="D17" i="4"/>
  <c r="C17" i="4"/>
  <c r="B17" i="4"/>
  <c r="A86" i="4" s="1"/>
  <c r="A17" i="4"/>
  <c r="AC16" i="4"/>
  <c r="AB16" i="4"/>
  <c r="D60" i="2" s="1"/>
  <c r="AA16" i="4"/>
  <c r="Z16" i="4"/>
  <c r="Y16" i="4"/>
  <c r="X16" i="4"/>
  <c r="D16" i="4"/>
  <c r="C16" i="4"/>
  <c r="B16" i="4"/>
  <c r="A16" i="4"/>
  <c r="AC15" i="4"/>
  <c r="AB15" i="4"/>
  <c r="D59" i="2" s="1"/>
  <c r="AA15" i="4"/>
  <c r="Z15" i="4"/>
  <c r="Y15" i="4"/>
  <c r="X15" i="4"/>
  <c r="D15" i="4"/>
  <c r="C15" i="4"/>
  <c r="B15" i="4"/>
  <c r="A15" i="4"/>
  <c r="AC14" i="4"/>
  <c r="H58" i="2" s="1"/>
  <c r="AB14" i="4"/>
  <c r="D58" i="2" s="1"/>
  <c r="AA14" i="4"/>
  <c r="Z14" i="4"/>
  <c r="Y14" i="4"/>
  <c r="X14" i="4"/>
  <c r="D14" i="4"/>
  <c r="C14" i="4"/>
  <c r="B14" i="4"/>
  <c r="A85" i="4" s="1"/>
  <c r="A14" i="4"/>
  <c r="AC13" i="4"/>
  <c r="H57" i="2" s="1"/>
  <c r="AB13" i="4"/>
  <c r="D57" i="2" s="1"/>
  <c r="AA13" i="4"/>
  <c r="Z13" i="4"/>
  <c r="Y13" i="4"/>
  <c r="X13" i="4"/>
  <c r="D13" i="4"/>
  <c r="C13" i="4"/>
  <c r="B13" i="4"/>
  <c r="A13" i="4"/>
  <c r="AC12" i="4"/>
  <c r="H56" i="2" s="1"/>
  <c r="AB12" i="4"/>
  <c r="D56" i="2" s="1"/>
  <c r="AA12" i="4"/>
  <c r="Z12" i="4"/>
  <c r="Y12" i="4"/>
  <c r="X12" i="4"/>
  <c r="D12" i="4"/>
  <c r="C12" i="4"/>
  <c r="B12" i="4"/>
  <c r="A12" i="4"/>
  <c r="AC11" i="4"/>
  <c r="H55" i="2" s="1"/>
  <c r="AB11" i="4"/>
  <c r="D55" i="2" s="1"/>
  <c r="AA11" i="4"/>
  <c r="Z11" i="4"/>
  <c r="Y11" i="4"/>
  <c r="X11" i="4"/>
  <c r="D11" i="4"/>
  <c r="C11" i="4"/>
  <c r="B11" i="4"/>
  <c r="A84" i="4" s="1"/>
  <c r="A11" i="4"/>
  <c r="AC10" i="4"/>
  <c r="H54" i="2" s="1"/>
  <c r="AB10" i="4"/>
  <c r="D54" i="2" s="1"/>
  <c r="AA10" i="4"/>
  <c r="Z10" i="4"/>
  <c r="Y10" i="4"/>
  <c r="X10" i="4"/>
  <c r="D10" i="4"/>
  <c r="C10" i="4"/>
  <c r="B10" i="4"/>
  <c r="A10" i="4"/>
  <c r="AC9" i="4"/>
  <c r="H53" i="2" s="1"/>
  <c r="AB9" i="4"/>
  <c r="D53" i="2" s="1"/>
  <c r="AA9" i="4"/>
  <c r="Z9" i="4"/>
  <c r="Y9" i="4"/>
  <c r="X9" i="4"/>
  <c r="D9" i="4"/>
  <c r="C9" i="4"/>
  <c r="B9" i="4"/>
  <c r="A9" i="4"/>
  <c r="AC8" i="4"/>
  <c r="H52" i="2" s="1"/>
  <c r="AB8" i="4"/>
  <c r="D52" i="2" s="1"/>
  <c r="AA8" i="4"/>
  <c r="Z8" i="4"/>
  <c r="Y8" i="4"/>
  <c r="X8" i="4"/>
  <c r="D8" i="4"/>
  <c r="C8" i="4"/>
  <c r="B8" i="4"/>
  <c r="A83" i="4" s="1"/>
  <c r="A8" i="4"/>
  <c r="X5" i="4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E66" i="2"/>
  <c r="D66" i="2"/>
  <c r="C66" i="2"/>
  <c r="B66" i="2"/>
  <c r="A66" i="2"/>
  <c r="C65" i="2"/>
  <c r="B65" i="2"/>
  <c r="A65" i="2"/>
  <c r="C64" i="2"/>
  <c r="B64" i="2"/>
  <c r="A64" i="2"/>
  <c r="C63" i="2"/>
  <c r="B63" i="2"/>
  <c r="A63" i="2"/>
  <c r="C62" i="2"/>
  <c r="B62" i="2"/>
  <c r="A62" i="2"/>
  <c r="C61" i="2"/>
  <c r="B61" i="2"/>
  <c r="A61" i="2"/>
  <c r="C60" i="2"/>
  <c r="B60" i="2"/>
  <c r="A60" i="2"/>
  <c r="C59" i="2"/>
  <c r="B59" i="2"/>
  <c r="A59" i="2"/>
  <c r="C58" i="2"/>
  <c r="B58" i="2"/>
  <c r="A58" i="2"/>
  <c r="C57" i="2"/>
  <c r="B57" i="2"/>
  <c r="A57" i="2"/>
  <c r="C56" i="2"/>
  <c r="B56" i="2"/>
  <c r="A56" i="2"/>
  <c r="C55" i="2"/>
  <c r="B55" i="2"/>
  <c r="A55" i="2"/>
  <c r="C54" i="2"/>
  <c r="B54" i="2"/>
  <c r="A54" i="2"/>
  <c r="C53" i="2"/>
  <c r="B53" i="2"/>
  <c r="A53" i="2"/>
  <c r="C52" i="2"/>
  <c r="B52" i="2"/>
  <c r="A52" i="2"/>
  <c r="A47" i="2"/>
  <c r="A46" i="2"/>
  <c r="A45" i="2"/>
  <c r="A44" i="2"/>
  <c r="A43" i="2"/>
  <c r="N24" i="4" l="1"/>
  <c r="G24" i="4"/>
  <c r="H59" i="2"/>
  <c r="O24" i="6"/>
  <c r="N24" i="6"/>
  <c r="M24" i="6"/>
  <c r="L24" i="6"/>
  <c r="K24" i="6"/>
  <c r="J24" i="6"/>
  <c r="I24" i="6"/>
  <c r="H24" i="6"/>
  <c r="G24" i="6"/>
  <c r="F24" i="6"/>
  <c r="W24" i="6"/>
  <c r="V24" i="6"/>
  <c r="U24" i="6"/>
  <c r="T24" i="6"/>
  <c r="S24" i="6"/>
  <c r="R24" i="6"/>
  <c r="Q24" i="6"/>
  <c r="P24" i="6"/>
  <c r="O24" i="4"/>
  <c r="I24" i="4"/>
  <c r="V24" i="4"/>
  <c r="H61" i="2"/>
  <c r="R24" i="4"/>
  <c r="J24" i="4"/>
  <c r="F24" i="4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W24" i="5"/>
  <c r="S24" i="4"/>
  <c r="M24" i="4"/>
  <c r="H24" i="4"/>
  <c r="P24" i="4"/>
  <c r="W24" i="4"/>
  <c r="U24" i="4"/>
  <c r="Q24" i="4"/>
  <c r="L24" i="4"/>
  <c r="T24" i="4"/>
  <c r="K24" i="4"/>
  <c r="X86" i="5"/>
  <c r="X85" i="5"/>
  <c r="X84" i="4"/>
  <c r="X86" i="4"/>
  <c r="D22" i="4"/>
  <c r="D22" i="5"/>
  <c r="AD22" i="6"/>
  <c r="AE22" i="6"/>
  <c r="O42" i="6"/>
  <c r="G42" i="6"/>
  <c r="H42" i="6"/>
  <c r="I42" i="6"/>
  <c r="J42" i="6"/>
  <c r="K42" i="6"/>
  <c r="L42" i="6"/>
  <c r="M42" i="6"/>
  <c r="N42" i="6"/>
  <c r="F42" i="6"/>
  <c r="W42" i="6"/>
  <c r="V42" i="6"/>
  <c r="U42" i="6"/>
  <c r="T42" i="6"/>
  <c r="S42" i="6"/>
  <c r="R42" i="6"/>
  <c r="Q42" i="6"/>
  <c r="P42" i="6"/>
  <c r="A42" i="6"/>
  <c r="A60" i="6"/>
  <c r="A78" i="6"/>
  <c r="AD21" i="6"/>
  <c r="AE21" i="6"/>
  <c r="P41" i="6"/>
  <c r="O41" i="6"/>
  <c r="N41" i="6"/>
  <c r="M41" i="6"/>
  <c r="L41" i="6"/>
  <c r="K41" i="6"/>
  <c r="J41" i="6"/>
  <c r="I41" i="6"/>
  <c r="H41" i="6"/>
  <c r="G41" i="6"/>
  <c r="F41" i="6"/>
  <c r="W41" i="6"/>
  <c r="V41" i="6"/>
  <c r="U41" i="6"/>
  <c r="T41" i="6"/>
  <c r="S41" i="6"/>
  <c r="R41" i="6"/>
  <c r="Q41" i="6"/>
  <c r="A77" i="6"/>
  <c r="A41" i="6"/>
  <c r="A59" i="6"/>
  <c r="AD20" i="6"/>
  <c r="AE20" i="6"/>
  <c r="D47" i="2" s="1"/>
  <c r="G40" i="6"/>
  <c r="F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A40" i="6"/>
  <c r="A58" i="6"/>
  <c r="A76" i="6"/>
  <c r="AD19" i="6"/>
  <c r="AE19" i="6"/>
  <c r="Q39" i="6"/>
  <c r="W39" i="6"/>
  <c r="V39" i="6"/>
  <c r="U39" i="6"/>
  <c r="T39" i="6"/>
  <c r="S39" i="6"/>
  <c r="P39" i="6"/>
  <c r="R39" i="6"/>
  <c r="O39" i="6"/>
  <c r="N39" i="6"/>
  <c r="M39" i="6"/>
  <c r="L39" i="6"/>
  <c r="K39" i="6"/>
  <c r="J39" i="6"/>
  <c r="I39" i="6"/>
  <c r="H39" i="6"/>
  <c r="G39" i="6"/>
  <c r="F39" i="6"/>
  <c r="A75" i="6"/>
  <c r="A57" i="6"/>
  <c r="A39" i="6"/>
  <c r="AD18" i="6"/>
  <c r="AE1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W38" i="6"/>
  <c r="A38" i="6"/>
  <c r="A74" i="6"/>
  <c r="A56" i="6"/>
  <c r="AD17" i="6"/>
  <c r="AE17" i="6"/>
  <c r="W37" i="6"/>
  <c r="Q37" i="6"/>
  <c r="P37" i="6"/>
  <c r="O37" i="6"/>
  <c r="N37" i="6"/>
  <c r="M37" i="6"/>
  <c r="L37" i="6"/>
  <c r="K37" i="6"/>
  <c r="J37" i="6"/>
  <c r="I37" i="6"/>
  <c r="H37" i="6"/>
  <c r="G37" i="6"/>
  <c r="F37" i="6"/>
  <c r="V37" i="6"/>
  <c r="U37" i="6"/>
  <c r="T37" i="6"/>
  <c r="R37" i="6"/>
  <c r="S37" i="6"/>
  <c r="A37" i="6"/>
  <c r="A55" i="6"/>
  <c r="A73" i="6"/>
  <c r="AD16" i="6"/>
  <c r="AE16" i="6"/>
  <c r="Q36" i="6"/>
  <c r="M36" i="6"/>
  <c r="L36" i="6"/>
  <c r="K36" i="6"/>
  <c r="J36" i="6"/>
  <c r="I36" i="6"/>
  <c r="H36" i="6"/>
  <c r="G36" i="6"/>
  <c r="F36" i="6"/>
  <c r="N36" i="6"/>
  <c r="W36" i="6"/>
  <c r="V36" i="6"/>
  <c r="U36" i="6"/>
  <c r="T36" i="6"/>
  <c r="S36" i="6"/>
  <c r="R36" i="6"/>
  <c r="P36" i="6"/>
  <c r="O36" i="6"/>
  <c r="A36" i="6"/>
  <c r="A72" i="6"/>
  <c r="A54" i="6"/>
  <c r="AD15" i="6"/>
  <c r="AE15" i="6"/>
  <c r="N35" i="6"/>
  <c r="M35" i="6"/>
  <c r="O35" i="6"/>
  <c r="K35" i="6"/>
  <c r="J35" i="6"/>
  <c r="I35" i="6"/>
  <c r="H35" i="6"/>
  <c r="G35" i="6"/>
  <c r="F35" i="6"/>
  <c r="P35" i="6"/>
  <c r="Q35" i="6"/>
  <c r="R35" i="6"/>
  <c r="S35" i="6"/>
  <c r="T35" i="6"/>
  <c r="U35" i="6"/>
  <c r="V35" i="6"/>
  <c r="W35" i="6"/>
  <c r="L35" i="6"/>
  <c r="A35" i="6"/>
  <c r="A71" i="6"/>
  <c r="A53" i="6"/>
  <c r="AD14" i="6"/>
  <c r="AE14" i="6"/>
  <c r="D45" i="2" s="1"/>
  <c r="Q34" i="6"/>
  <c r="F34" i="6"/>
  <c r="J34" i="6"/>
  <c r="G34" i="6"/>
  <c r="H34" i="6"/>
  <c r="I34" i="6"/>
  <c r="W34" i="6"/>
  <c r="V34" i="6"/>
  <c r="U34" i="6"/>
  <c r="T34" i="6"/>
  <c r="S34" i="6"/>
  <c r="R34" i="6"/>
  <c r="K34" i="6"/>
  <c r="L34" i="6"/>
  <c r="M34" i="6"/>
  <c r="N34" i="6"/>
  <c r="O34" i="6"/>
  <c r="P34" i="6"/>
  <c r="A34" i="6"/>
  <c r="A52" i="6"/>
  <c r="A70" i="6"/>
  <c r="AD13" i="6"/>
  <c r="AE13" i="6"/>
  <c r="K33" i="6"/>
  <c r="M33" i="6"/>
  <c r="N33" i="6"/>
  <c r="O33" i="6"/>
  <c r="P33" i="6"/>
  <c r="Q33" i="6"/>
  <c r="R33" i="6"/>
  <c r="F33" i="6"/>
  <c r="S33" i="6"/>
  <c r="T33" i="6"/>
  <c r="U33" i="6"/>
  <c r="L33" i="6"/>
  <c r="G33" i="6"/>
  <c r="V33" i="6"/>
  <c r="H33" i="6"/>
  <c r="I33" i="6"/>
  <c r="J33" i="6"/>
  <c r="W33" i="6"/>
  <c r="A69" i="6"/>
  <c r="A33" i="6"/>
  <c r="A51" i="6"/>
  <c r="AD12" i="6"/>
  <c r="AE12" i="6"/>
  <c r="I32" i="6"/>
  <c r="G32" i="6"/>
  <c r="F32" i="6"/>
  <c r="H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A32" i="6"/>
  <c r="A68" i="6"/>
  <c r="A50" i="6"/>
  <c r="AD11" i="6"/>
  <c r="AE11" i="6"/>
  <c r="M31" i="6"/>
  <c r="W31" i="6"/>
  <c r="V31" i="6"/>
  <c r="U31" i="6"/>
  <c r="T31" i="6"/>
  <c r="S31" i="6"/>
  <c r="R31" i="6"/>
  <c r="Q31" i="6"/>
  <c r="P31" i="6"/>
  <c r="O31" i="6"/>
  <c r="N31" i="6"/>
  <c r="L31" i="6"/>
  <c r="K31" i="6"/>
  <c r="J31" i="6"/>
  <c r="I31" i="6"/>
  <c r="H31" i="6"/>
  <c r="G31" i="6"/>
  <c r="F31" i="6"/>
  <c r="A31" i="6"/>
  <c r="A67" i="6"/>
  <c r="A49" i="6"/>
  <c r="AD10" i="6"/>
  <c r="AE1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W30" i="6"/>
  <c r="A30" i="6"/>
  <c r="A48" i="6"/>
  <c r="A66" i="6"/>
  <c r="AD9" i="6"/>
  <c r="AE9" i="6"/>
  <c r="N29" i="6"/>
  <c r="R29" i="6"/>
  <c r="Q29" i="6"/>
  <c r="P29" i="6"/>
  <c r="O29" i="6"/>
  <c r="S29" i="6"/>
  <c r="M29" i="6"/>
  <c r="L29" i="6"/>
  <c r="K29" i="6"/>
  <c r="J29" i="6"/>
  <c r="I29" i="6"/>
  <c r="H29" i="6"/>
  <c r="G29" i="6"/>
  <c r="F29" i="6"/>
  <c r="W29" i="6"/>
  <c r="V29" i="6"/>
  <c r="U29" i="6"/>
  <c r="T29" i="6"/>
  <c r="A29" i="6"/>
  <c r="A47" i="6"/>
  <c r="A65" i="6"/>
  <c r="AD8" i="6"/>
  <c r="AE8" i="6"/>
  <c r="J28" i="6"/>
  <c r="R28" i="6"/>
  <c r="M28" i="6"/>
  <c r="L28" i="6"/>
  <c r="K28" i="6"/>
  <c r="O28" i="6"/>
  <c r="I28" i="6"/>
  <c r="H28" i="6"/>
  <c r="G28" i="6"/>
  <c r="F28" i="6"/>
  <c r="W28" i="6"/>
  <c r="V28" i="6"/>
  <c r="P28" i="6"/>
  <c r="U28" i="6"/>
  <c r="T28" i="6"/>
  <c r="S28" i="6"/>
  <c r="Q28" i="6"/>
  <c r="N28" i="6"/>
  <c r="A64" i="6"/>
  <c r="A28" i="6"/>
  <c r="A46" i="6"/>
  <c r="Y87" i="5"/>
  <c r="Z87" i="5"/>
  <c r="C47" i="2" s="1"/>
  <c r="Z86" i="5"/>
  <c r="C46" i="2" s="1"/>
  <c r="Y86" i="5"/>
  <c r="Y85" i="5"/>
  <c r="Z85" i="5"/>
  <c r="C45" i="2" s="1"/>
  <c r="Y84" i="5"/>
  <c r="Z84" i="5"/>
  <c r="C44" i="2" s="1"/>
  <c r="Y83" i="5"/>
  <c r="Z83" i="5"/>
  <c r="C43" i="2" s="1"/>
  <c r="A60" i="5"/>
  <c r="A42" i="5"/>
  <c r="A78" i="5"/>
  <c r="S41" i="5"/>
  <c r="N41" i="5"/>
  <c r="O41" i="5"/>
  <c r="P41" i="5"/>
  <c r="Q41" i="5"/>
  <c r="R41" i="5"/>
  <c r="M41" i="5"/>
  <c r="L41" i="5"/>
  <c r="K41" i="5"/>
  <c r="J41" i="5"/>
  <c r="I41" i="5"/>
  <c r="H41" i="5"/>
  <c r="G41" i="5"/>
  <c r="F41" i="5"/>
  <c r="W41" i="5"/>
  <c r="V41" i="5"/>
  <c r="U41" i="5"/>
  <c r="T41" i="5"/>
  <c r="A59" i="5"/>
  <c r="A77" i="5"/>
  <c r="A41" i="5"/>
  <c r="L40" i="5"/>
  <c r="G40" i="5"/>
  <c r="H40" i="5"/>
  <c r="I40" i="5"/>
  <c r="J40" i="5"/>
  <c r="F40" i="5"/>
  <c r="K40" i="5"/>
  <c r="W40" i="5"/>
  <c r="V40" i="5"/>
  <c r="U40" i="5"/>
  <c r="T40" i="5"/>
  <c r="S40" i="5"/>
  <c r="R40" i="5"/>
  <c r="Q40" i="5"/>
  <c r="P40" i="5"/>
  <c r="O40" i="5"/>
  <c r="N40" i="5"/>
  <c r="M40" i="5"/>
  <c r="A40" i="5"/>
  <c r="A76" i="5"/>
  <c r="A58" i="5"/>
  <c r="I39" i="5"/>
  <c r="F39" i="5"/>
  <c r="H39" i="5"/>
  <c r="G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A75" i="5"/>
  <c r="A39" i="5"/>
  <c r="A57" i="5"/>
  <c r="I38" i="5"/>
  <c r="F38" i="5"/>
  <c r="K38" i="5"/>
  <c r="W38" i="5"/>
  <c r="V38" i="5"/>
  <c r="U38" i="5"/>
  <c r="T38" i="5"/>
  <c r="S38" i="5"/>
  <c r="R38" i="5"/>
  <c r="Q38" i="5"/>
  <c r="P38" i="5"/>
  <c r="O38" i="5"/>
  <c r="N38" i="5"/>
  <c r="M38" i="5"/>
  <c r="L38" i="5"/>
  <c r="J38" i="5"/>
  <c r="H38" i="5"/>
  <c r="G38" i="5"/>
  <c r="A74" i="5"/>
  <c r="A56" i="5"/>
  <c r="A38" i="5"/>
  <c r="G37" i="5"/>
  <c r="F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A37" i="5"/>
  <c r="A73" i="5"/>
  <c r="A55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A54" i="5"/>
  <c r="A36" i="5"/>
  <c r="A72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W35" i="5"/>
  <c r="A71" i="5"/>
  <c r="A53" i="5"/>
  <c r="A35" i="5"/>
  <c r="T34" i="5"/>
  <c r="S34" i="5"/>
  <c r="F34" i="5"/>
  <c r="G34" i="5"/>
  <c r="U34" i="5"/>
  <c r="V34" i="5"/>
  <c r="H34" i="5"/>
  <c r="Q34" i="5"/>
  <c r="R34" i="5"/>
  <c r="I34" i="5"/>
  <c r="J34" i="5"/>
  <c r="K34" i="5"/>
  <c r="L34" i="5"/>
  <c r="M34" i="5"/>
  <c r="N34" i="5"/>
  <c r="O34" i="5"/>
  <c r="P34" i="5"/>
  <c r="W34" i="5"/>
  <c r="A34" i="5"/>
  <c r="A70" i="5"/>
  <c r="A52" i="5"/>
  <c r="Q33" i="5"/>
  <c r="P33" i="5"/>
  <c r="O33" i="5"/>
  <c r="N33" i="5"/>
  <c r="M33" i="5"/>
  <c r="L33" i="5"/>
  <c r="K33" i="5"/>
  <c r="J33" i="5"/>
  <c r="I33" i="5"/>
  <c r="H33" i="5"/>
  <c r="G33" i="5"/>
  <c r="F33" i="5"/>
  <c r="W33" i="5"/>
  <c r="V33" i="5"/>
  <c r="U33" i="5"/>
  <c r="T33" i="5"/>
  <c r="S33" i="5"/>
  <c r="R33" i="5"/>
  <c r="A51" i="5"/>
  <c r="A69" i="5"/>
  <c r="A33" i="5"/>
  <c r="N32" i="5"/>
  <c r="M32" i="5"/>
  <c r="L32" i="5"/>
  <c r="K32" i="5"/>
  <c r="J32" i="5"/>
  <c r="I32" i="5"/>
  <c r="H32" i="5"/>
  <c r="G32" i="5"/>
  <c r="F32" i="5"/>
  <c r="W32" i="5"/>
  <c r="V32" i="5"/>
  <c r="U32" i="5"/>
  <c r="T32" i="5"/>
  <c r="S32" i="5"/>
  <c r="R32" i="5"/>
  <c r="Q32" i="5"/>
  <c r="P32" i="5"/>
  <c r="O32" i="5"/>
  <c r="A50" i="5"/>
  <c r="A32" i="5"/>
  <c r="A68" i="5"/>
  <c r="I31" i="5"/>
  <c r="J31" i="5"/>
  <c r="F31" i="5"/>
  <c r="G31" i="5"/>
  <c r="H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A31" i="5"/>
  <c r="A49" i="5"/>
  <c r="A67" i="5"/>
  <c r="K30" i="5"/>
  <c r="J30" i="5"/>
  <c r="I30" i="5"/>
  <c r="H30" i="5"/>
  <c r="G30" i="5"/>
  <c r="F30" i="5"/>
  <c r="W30" i="5"/>
  <c r="V30" i="5"/>
  <c r="U30" i="5"/>
  <c r="T30" i="5"/>
  <c r="S30" i="5"/>
  <c r="R30" i="5"/>
  <c r="Q30" i="5"/>
  <c r="P30" i="5"/>
  <c r="O30" i="5"/>
  <c r="N30" i="5"/>
  <c r="M30" i="5"/>
  <c r="L30" i="5"/>
  <c r="A66" i="5"/>
  <c r="A30" i="5"/>
  <c r="A48" i="5"/>
  <c r="H29" i="5"/>
  <c r="G29" i="5"/>
  <c r="F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A65" i="5"/>
  <c r="A47" i="5"/>
  <c r="A29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A64" i="5"/>
  <c r="A46" i="5"/>
  <c r="A28" i="5"/>
  <c r="Z87" i="4"/>
  <c r="B47" i="2" s="1"/>
  <c r="Y87" i="4"/>
  <c r="Z85" i="4"/>
  <c r="B45" i="2" s="1"/>
  <c r="Y85" i="4"/>
  <c r="Y83" i="4"/>
  <c r="Z83" i="4"/>
  <c r="B43" i="2" s="1"/>
  <c r="A60" i="4"/>
  <c r="A78" i="4"/>
  <c r="A42" i="4"/>
  <c r="G65" i="2"/>
  <c r="I65" i="2" s="1"/>
  <c r="J65" i="2"/>
  <c r="T41" i="4"/>
  <c r="H41" i="4"/>
  <c r="F41" i="4"/>
  <c r="G41" i="4"/>
  <c r="W41" i="4"/>
  <c r="V41" i="4"/>
  <c r="U41" i="4"/>
  <c r="S41" i="4"/>
  <c r="R41" i="4"/>
  <c r="Q41" i="4"/>
  <c r="P41" i="4"/>
  <c r="O41" i="4"/>
  <c r="N41" i="4"/>
  <c r="M41" i="4"/>
  <c r="L41" i="4"/>
  <c r="K41" i="4"/>
  <c r="J41" i="4"/>
  <c r="I41" i="4"/>
  <c r="A41" i="4"/>
  <c r="A59" i="4"/>
  <c r="A77" i="4"/>
  <c r="G64" i="2"/>
  <c r="I64" i="2" s="1"/>
  <c r="J64" i="2"/>
  <c r="F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A40" i="4"/>
  <c r="A76" i="4"/>
  <c r="A58" i="4"/>
  <c r="G63" i="2"/>
  <c r="I63" i="2" s="1"/>
  <c r="J63" i="2"/>
  <c r="N39" i="4"/>
  <c r="W39" i="4"/>
  <c r="V39" i="4"/>
  <c r="U39" i="4"/>
  <c r="T39" i="4"/>
  <c r="S39" i="4"/>
  <c r="R39" i="4"/>
  <c r="Q39" i="4"/>
  <c r="P39" i="4"/>
  <c r="O39" i="4"/>
  <c r="M39" i="4"/>
  <c r="L39" i="4"/>
  <c r="K39" i="4"/>
  <c r="J39" i="4"/>
  <c r="I39" i="4"/>
  <c r="H39" i="4"/>
  <c r="G39" i="4"/>
  <c r="F39" i="4"/>
  <c r="A57" i="4"/>
  <c r="A39" i="4"/>
  <c r="A75" i="4"/>
  <c r="G62" i="2"/>
  <c r="I62" i="2" s="1"/>
  <c r="J62" i="2"/>
  <c r="W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V38" i="4"/>
  <c r="A56" i="4"/>
  <c r="A38" i="4"/>
  <c r="A74" i="4"/>
  <c r="G61" i="2"/>
  <c r="J61" i="2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S37" i="4"/>
  <c r="T37" i="4"/>
  <c r="U37" i="4"/>
  <c r="V37" i="4"/>
  <c r="W37" i="4"/>
  <c r="A37" i="4"/>
  <c r="A73" i="4"/>
  <c r="A55" i="4"/>
  <c r="G60" i="2"/>
  <c r="I60" i="2" s="1"/>
  <c r="J60" i="2"/>
  <c r="K36" i="4"/>
  <c r="J36" i="4"/>
  <c r="H36" i="4"/>
  <c r="G36" i="4"/>
  <c r="F36" i="4"/>
  <c r="I36" i="4"/>
  <c r="L36" i="4"/>
  <c r="M36" i="4"/>
  <c r="N36" i="4"/>
  <c r="O36" i="4"/>
  <c r="P36" i="4"/>
  <c r="Q36" i="4"/>
  <c r="R36" i="4"/>
  <c r="S36" i="4"/>
  <c r="T36" i="4"/>
  <c r="U36" i="4"/>
  <c r="V36" i="4"/>
  <c r="W36" i="4"/>
  <c r="A54" i="4"/>
  <c r="A36" i="4"/>
  <c r="A72" i="4"/>
  <c r="G59" i="2"/>
  <c r="J59" i="2"/>
  <c r="J35" i="4"/>
  <c r="I35" i="4"/>
  <c r="K35" i="4"/>
  <c r="G35" i="4"/>
  <c r="F35" i="4"/>
  <c r="L35" i="4"/>
  <c r="M35" i="4"/>
  <c r="N35" i="4"/>
  <c r="O35" i="4"/>
  <c r="P35" i="4"/>
  <c r="Q35" i="4"/>
  <c r="R35" i="4"/>
  <c r="S35" i="4"/>
  <c r="T35" i="4"/>
  <c r="U35" i="4"/>
  <c r="V35" i="4"/>
  <c r="W35" i="4"/>
  <c r="H35" i="4"/>
  <c r="A71" i="4"/>
  <c r="A53" i="4"/>
  <c r="A35" i="4"/>
  <c r="G58" i="2"/>
  <c r="I58" i="2" s="1"/>
  <c r="J58" i="2"/>
  <c r="S34" i="4"/>
  <c r="W34" i="4"/>
  <c r="V34" i="4"/>
  <c r="F34" i="4"/>
  <c r="G34" i="4"/>
  <c r="H34" i="4"/>
  <c r="I34" i="4"/>
  <c r="U34" i="4"/>
  <c r="T34" i="4"/>
  <c r="J34" i="4"/>
  <c r="K34" i="4"/>
  <c r="L34" i="4"/>
  <c r="M34" i="4"/>
  <c r="N34" i="4"/>
  <c r="O34" i="4"/>
  <c r="P34" i="4"/>
  <c r="Q34" i="4"/>
  <c r="R34" i="4"/>
  <c r="A52" i="4"/>
  <c r="A34" i="4"/>
  <c r="A70" i="4"/>
  <c r="G57" i="2"/>
  <c r="I57" i="2" s="1"/>
  <c r="J57" i="2"/>
  <c r="K33" i="4"/>
  <c r="P33" i="4"/>
  <c r="O33" i="4"/>
  <c r="N33" i="4"/>
  <c r="M33" i="4"/>
  <c r="L33" i="4"/>
  <c r="Q33" i="4"/>
  <c r="J33" i="4"/>
  <c r="I33" i="4"/>
  <c r="H33" i="4"/>
  <c r="G33" i="4"/>
  <c r="F33" i="4"/>
  <c r="W33" i="4"/>
  <c r="V33" i="4"/>
  <c r="U33" i="4"/>
  <c r="T33" i="4"/>
  <c r="S33" i="4"/>
  <c r="R33" i="4"/>
  <c r="A69" i="4"/>
  <c r="A33" i="4"/>
  <c r="A51" i="4"/>
  <c r="G56" i="2"/>
  <c r="I56" i="2" s="1"/>
  <c r="J56" i="2"/>
  <c r="Q32" i="4"/>
  <c r="R32" i="4"/>
  <c r="O32" i="4"/>
  <c r="N32" i="4"/>
  <c r="M32" i="4"/>
  <c r="L32" i="4"/>
  <c r="K32" i="4"/>
  <c r="J32" i="4"/>
  <c r="I32" i="4"/>
  <c r="H32" i="4"/>
  <c r="G32" i="4"/>
  <c r="F32" i="4"/>
  <c r="S32" i="4"/>
  <c r="T32" i="4"/>
  <c r="U32" i="4"/>
  <c r="V32" i="4"/>
  <c r="W32" i="4"/>
  <c r="P32" i="4"/>
  <c r="A50" i="4"/>
  <c r="A32" i="4"/>
  <c r="A68" i="4"/>
  <c r="G55" i="2"/>
  <c r="I55" i="2" s="1"/>
  <c r="J55" i="2"/>
  <c r="K31" i="4"/>
  <c r="J31" i="4"/>
  <c r="I31" i="4"/>
  <c r="H31" i="4"/>
  <c r="G31" i="4"/>
  <c r="F31" i="4"/>
  <c r="W31" i="4"/>
  <c r="V31" i="4"/>
  <c r="U31" i="4"/>
  <c r="T31" i="4"/>
  <c r="S31" i="4"/>
  <c r="R31" i="4"/>
  <c r="Q31" i="4"/>
  <c r="P31" i="4"/>
  <c r="O31" i="4"/>
  <c r="N31" i="4"/>
  <c r="M31" i="4"/>
  <c r="L31" i="4"/>
  <c r="A49" i="4"/>
  <c r="A31" i="4"/>
  <c r="A67" i="4"/>
  <c r="G54" i="2"/>
  <c r="I54" i="2" s="1"/>
  <c r="J54" i="2"/>
  <c r="L30" i="4"/>
  <c r="W30" i="4"/>
  <c r="M30" i="4"/>
  <c r="K30" i="4"/>
  <c r="G30" i="4"/>
  <c r="J30" i="4"/>
  <c r="F30" i="4"/>
  <c r="H30" i="4"/>
  <c r="N30" i="4"/>
  <c r="O30" i="4"/>
  <c r="P30" i="4"/>
  <c r="Q30" i="4"/>
  <c r="R30" i="4"/>
  <c r="S30" i="4"/>
  <c r="T30" i="4"/>
  <c r="U30" i="4"/>
  <c r="V30" i="4"/>
  <c r="I30" i="4"/>
  <c r="A66" i="4"/>
  <c r="A30" i="4"/>
  <c r="A48" i="4"/>
  <c r="G53" i="2"/>
  <c r="I53" i="2" s="1"/>
  <c r="J53" i="2"/>
  <c r="W29" i="4"/>
  <c r="I29" i="4"/>
  <c r="J29" i="4"/>
  <c r="K29" i="4"/>
  <c r="L29" i="4"/>
  <c r="M29" i="4"/>
  <c r="N29" i="4"/>
  <c r="O29" i="4"/>
  <c r="H29" i="4"/>
  <c r="G29" i="4"/>
  <c r="P29" i="4"/>
  <c r="Q29" i="4"/>
  <c r="F29" i="4"/>
  <c r="R29" i="4"/>
  <c r="S29" i="4"/>
  <c r="T29" i="4"/>
  <c r="U29" i="4"/>
  <c r="V29" i="4"/>
  <c r="A47" i="4"/>
  <c r="A29" i="4"/>
  <c r="A65" i="4"/>
  <c r="G52" i="2"/>
  <c r="I52" i="2" s="1"/>
  <c r="J52" i="2"/>
  <c r="I28" i="4"/>
  <c r="R28" i="4"/>
  <c r="W28" i="4"/>
  <c r="V28" i="4"/>
  <c r="T28" i="4"/>
  <c r="F28" i="4"/>
  <c r="G28" i="4"/>
  <c r="H28" i="4"/>
  <c r="J28" i="4"/>
  <c r="K28" i="4"/>
  <c r="L28" i="4"/>
  <c r="S28" i="4"/>
  <c r="M28" i="4"/>
  <c r="N28" i="4"/>
  <c r="O28" i="4"/>
  <c r="P28" i="4"/>
  <c r="Q28" i="4"/>
  <c r="U28" i="4"/>
  <c r="A28" i="4"/>
  <c r="A46" i="4"/>
  <c r="A64" i="4"/>
  <c r="G66" i="2"/>
  <c r="I66" i="2" s="1"/>
  <c r="J66" i="2"/>
  <c r="I61" i="2" l="1"/>
  <c r="I59" i="2"/>
  <c r="F25" i="6"/>
  <c r="I25" i="6" s="1"/>
  <c r="F11" i="3"/>
  <c r="G11" i="3" s="1"/>
  <c r="F17" i="3"/>
  <c r="G17" i="3" s="1"/>
  <c r="F16" i="3"/>
  <c r="G16" i="3" s="1"/>
  <c r="F9" i="3"/>
  <c r="G9" i="3" s="1"/>
  <c r="F13" i="3"/>
  <c r="G13" i="3" s="1"/>
  <c r="F5" i="3"/>
  <c r="F12" i="3"/>
  <c r="G12" i="3" s="1"/>
  <c r="F8" i="3"/>
  <c r="G8" i="3" s="1"/>
  <c r="F7" i="3"/>
  <c r="G7" i="3" s="1"/>
  <c r="F6" i="3"/>
  <c r="G6" i="3" s="1"/>
  <c r="F10" i="3"/>
  <c r="G10" i="3" s="1"/>
  <c r="F14" i="3"/>
  <c r="G14" i="3" s="1"/>
  <c r="F15" i="3"/>
  <c r="G15" i="3" s="1"/>
  <c r="F19" i="3"/>
  <c r="G19" i="3" s="1"/>
  <c r="F18" i="3"/>
  <c r="G18" i="3" s="1"/>
  <c r="B13" i="3"/>
  <c r="B12" i="3"/>
  <c r="B5" i="3"/>
  <c r="B11" i="3"/>
  <c r="B6" i="3"/>
  <c r="B7" i="3"/>
  <c r="B9" i="3"/>
  <c r="F25" i="4"/>
  <c r="I25" i="4" s="1"/>
  <c r="B19" i="3"/>
  <c r="B8" i="3"/>
  <c r="B15" i="3"/>
  <c r="B16" i="3"/>
  <c r="B17" i="3"/>
  <c r="B18" i="3"/>
  <c r="B14" i="3"/>
  <c r="B10" i="3"/>
  <c r="F25" i="5"/>
  <c r="I25" i="5" s="1"/>
  <c r="D17" i="3"/>
  <c r="D13" i="3"/>
  <c r="E13" i="3" s="1"/>
  <c r="D5" i="3"/>
  <c r="D10" i="3"/>
  <c r="D7" i="3"/>
  <c r="E7" i="3" s="1"/>
  <c r="D8" i="3"/>
  <c r="E8" i="3" s="1"/>
  <c r="D9" i="3"/>
  <c r="E9" i="3" s="1"/>
  <c r="D11" i="3"/>
  <c r="E11" i="3" s="1"/>
  <c r="D12" i="3"/>
  <c r="E12" i="3" s="1"/>
  <c r="D19" i="3"/>
  <c r="E19" i="3" s="1"/>
  <c r="D18" i="3"/>
  <c r="D16" i="3"/>
  <c r="D14" i="3"/>
  <c r="D15" i="3"/>
  <c r="D6" i="3"/>
  <c r="E6" i="3" s="1"/>
  <c r="Y84" i="4"/>
  <c r="Z84" i="4"/>
  <c r="B44" i="2" s="1"/>
  <c r="Z86" i="4"/>
  <c r="B46" i="2" s="1"/>
  <c r="Y86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E47" i="2"/>
  <c r="F47" i="2" s="1"/>
  <c r="G47" i="2"/>
  <c r="E45" i="2"/>
  <c r="F45" i="2" s="1"/>
  <c r="G45" i="2"/>
  <c r="F24" i="2"/>
  <c r="B26" i="2"/>
  <c r="F29" i="2"/>
  <c r="F31" i="2"/>
  <c r="I31" i="2"/>
  <c r="E32" i="2"/>
  <c r="I32" i="2"/>
  <c r="D33" i="2"/>
  <c r="G33" i="2"/>
  <c r="E34" i="2"/>
  <c r="C35" i="2"/>
  <c r="E35" i="2"/>
  <c r="G35" i="2"/>
  <c r="C36" i="2"/>
  <c r="B24" i="2"/>
  <c r="C25" i="2"/>
  <c r="H25" i="2"/>
  <c r="G28" i="2"/>
  <c r="D29" i="2"/>
  <c r="D32" i="2"/>
  <c r="E36" i="2"/>
  <c r="H22" i="2"/>
  <c r="E24" i="2"/>
  <c r="E26" i="2"/>
  <c r="C28" i="2"/>
  <c r="D30" i="2"/>
  <c r="H31" i="2"/>
  <c r="C33" i="2"/>
  <c r="G36" i="2"/>
  <c r="E22" i="2"/>
  <c r="E23" i="2"/>
  <c r="E25" i="2"/>
  <c r="F27" i="2"/>
  <c r="E28" i="2"/>
  <c r="G31" i="2"/>
  <c r="C32" i="2"/>
  <c r="I35" i="2"/>
  <c r="C22" i="2"/>
  <c r="I22" i="2"/>
  <c r="D23" i="2"/>
  <c r="I23" i="2"/>
  <c r="C24" i="2"/>
  <c r="G24" i="2"/>
  <c r="I24" i="2"/>
  <c r="D26" i="2"/>
  <c r="I26" i="2"/>
  <c r="H27" i="2"/>
  <c r="F28" i="2"/>
  <c r="E29" i="2"/>
  <c r="I29" i="2"/>
  <c r="E30" i="2"/>
  <c r="C31" i="2"/>
  <c r="B32" i="2"/>
  <c r="F32" i="2"/>
  <c r="G32" i="2"/>
  <c r="H32" i="2"/>
  <c r="B33" i="2"/>
  <c r="F33" i="2"/>
  <c r="H33" i="2"/>
  <c r="I33" i="2"/>
  <c r="B34" i="2"/>
  <c r="C34" i="2"/>
  <c r="F34" i="2"/>
  <c r="G34" i="2"/>
  <c r="A34" i="2"/>
  <c r="A35" i="2"/>
  <c r="A27" i="2"/>
  <c r="A30" i="2"/>
  <c r="A24" i="2"/>
  <c r="A33" i="2"/>
  <c r="A22" i="2"/>
  <c r="A28" i="2"/>
  <c r="A29" i="2"/>
  <c r="A31" i="2"/>
  <c r="A25" i="2"/>
  <c r="A23" i="2"/>
  <c r="A26" i="2"/>
  <c r="A36" i="2"/>
  <c r="A32" i="2"/>
  <c r="D46" i="2"/>
  <c r="D44" i="2"/>
  <c r="D43" i="2"/>
  <c r="E33" i="2" l="1"/>
  <c r="D34" i="2"/>
  <c r="H34" i="2"/>
  <c r="C30" i="2"/>
  <c r="B35" i="2"/>
  <c r="D35" i="2"/>
  <c r="F35" i="2"/>
  <c r="F36" i="2"/>
  <c r="C23" i="2"/>
  <c r="F23" i="2"/>
  <c r="H23" i="2"/>
  <c r="G25" i="2"/>
  <c r="C26" i="2"/>
  <c r="G26" i="2"/>
  <c r="D27" i="2"/>
  <c r="G27" i="2"/>
  <c r="H28" i="2"/>
  <c r="G29" i="2"/>
  <c r="B30" i="2"/>
  <c r="H30" i="2"/>
  <c r="D31" i="2"/>
  <c r="D36" i="2"/>
  <c r="B22" i="2"/>
  <c r="F22" i="2"/>
  <c r="B25" i="2"/>
  <c r="D25" i="2"/>
  <c r="F26" i="2"/>
  <c r="B27" i="2"/>
  <c r="I27" i="2"/>
  <c r="B28" i="2"/>
  <c r="F30" i="2"/>
  <c r="B31" i="2"/>
  <c r="H35" i="2"/>
  <c r="H36" i="2"/>
  <c r="D22" i="2"/>
  <c r="G22" i="2"/>
  <c r="B23" i="2"/>
  <c r="G23" i="2"/>
  <c r="D24" i="2"/>
  <c r="H24" i="2"/>
  <c r="F25" i="2"/>
  <c r="I25" i="2"/>
  <c r="H26" i="2"/>
  <c r="C27" i="2"/>
  <c r="E27" i="2"/>
  <c r="I36" i="2"/>
  <c r="G30" i="2"/>
  <c r="C29" i="2"/>
  <c r="D28" i="2"/>
  <c r="I34" i="2"/>
  <c r="B36" i="2"/>
  <c r="E31" i="2"/>
  <c r="I30" i="2"/>
  <c r="I28" i="2"/>
  <c r="B29" i="2"/>
  <c r="H29" i="2"/>
  <c r="F20" i="3"/>
  <c r="G5" i="3"/>
  <c r="H13" i="3"/>
  <c r="C13" i="3"/>
  <c r="I13" i="3" s="1"/>
  <c r="C12" i="3"/>
  <c r="H12" i="3"/>
  <c r="B20" i="3"/>
  <c r="H5" i="3"/>
  <c r="H20" i="3" s="1"/>
  <c r="C5" i="3"/>
  <c r="H11" i="3"/>
  <c r="C11" i="3"/>
  <c r="H6" i="3"/>
  <c r="C6" i="3"/>
  <c r="I6" i="3" s="1"/>
  <c r="H7" i="3"/>
  <c r="C7" i="3"/>
  <c r="I7" i="3" s="1"/>
  <c r="C9" i="3"/>
  <c r="H9" i="3"/>
  <c r="C10" i="3"/>
  <c r="C14" i="3"/>
  <c r="C15" i="3"/>
  <c r="C16" i="3"/>
  <c r="C17" i="3"/>
  <c r="C18" i="3"/>
  <c r="H19" i="3"/>
  <c r="C19" i="3"/>
  <c r="C8" i="3"/>
  <c r="H8" i="3"/>
  <c r="E17" i="3"/>
  <c r="H17" i="3"/>
  <c r="E5" i="3"/>
  <c r="E20" i="3" s="1"/>
  <c r="D20" i="3"/>
  <c r="E10" i="3"/>
  <c r="H10" i="3"/>
  <c r="E18" i="3"/>
  <c r="H18" i="3"/>
  <c r="E16" i="3"/>
  <c r="H16" i="3"/>
  <c r="E14" i="3"/>
  <c r="H14" i="3"/>
  <c r="E15" i="3"/>
  <c r="H15" i="3"/>
  <c r="I19" i="3"/>
  <c r="I18" i="3"/>
  <c r="I17" i="3"/>
  <c r="I16" i="3"/>
  <c r="I15" i="3"/>
  <c r="I14" i="3"/>
  <c r="I11" i="3"/>
  <c r="I10" i="3"/>
  <c r="I9" i="3"/>
  <c r="I8" i="3"/>
  <c r="E46" i="2"/>
  <c r="F46" i="2" s="1"/>
  <c r="G46" i="2"/>
  <c r="E44" i="2"/>
  <c r="F44" i="2" s="1"/>
  <c r="G44" i="2"/>
  <c r="E43" i="2"/>
  <c r="F43" i="2" s="1"/>
  <c r="G43" i="2"/>
  <c r="I5" i="3" l="1"/>
  <c r="G20" i="3"/>
  <c r="C20" i="3"/>
  <c r="I12" i="3"/>
  <c r="B13" i="2"/>
  <c r="D17" i="2"/>
  <c r="E15" i="2"/>
  <c r="D14" i="2"/>
  <c r="F13" i="2"/>
  <c r="E17" i="2"/>
  <c r="E16" i="2"/>
  <c r="B16" i="2"/>
  <c r="D15" i="2"/>
  <c r="B15" i="2"/>
  <c r="B14" i="2"/>
  <c r="F17" i="2"/>
  <c r="B17" i="2"/>
  <c r="F16" i="2"/>
  <c r="D16" i="2"/>
  <c r="F15" i="2"/>
  <c r="C15" i="2"/>
  <c r="E13" i="2"/>
  <c r="C13" i="2"/>
  <c r="C17" i="2"/>
  <c r="C16" i="2"/>
  <c r="F14" i="2"/>
  <c r="C14" i="2"/>
  <c r="E14" i="2"/>
  <c r="D13" i="2"/>
  <c r="A15" i="2"/>
  <c r="A16" i="2"/>
  <c r="A14" i="2"/>
  <c r="A13" i="2"/>
  <c r="A17" i="2"/>
  <c r="I2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DW</author>
  </authors>
  <commentList>
    <comment ref="E7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Round 3 groups are set from the Mankles standings after Round 2. Type them here if you need them.</t>
        </r>
      </text>
    </comment>
  </commentList>
</comments>
</file>

<file path=xl/sharedStrings.xml><?xml version="1.0" encoding="utf-8"?>
<sst xmlns="http://schemas.openxmlformats.org/spreadsheetml/2006/main" count="309" uniqueCount="158">
  <si>
    <t>DW Invitational 2026 · Live Standings</t>
  </si>
  <si>
    <t>Backup scoring sheet · type scores on the R1 / R2 / R3 tabs and this page updates itself</t>
  </si>
  <si>
    <t>Skins pot per round</t>
  </si>
  <si>
    <t>Team place points</t>
  </si>
  <si>
    <t>1st place</t>
  </si>
  <si>
    <t>2nd place</t>
  </si>
  <si>
    <t>3rd place</t>
  </si>
  <si>
    <t>4th place</t>
  </si>
  <si>
    <t>5th place</t>
  </si>
  <si>
    <t>Team Standings</t>
  </si>
  <si>
    <t>Pos</t>
  </si>
  <si>
    <t>Team</t>
  </si>
  <si>
    <t>R1</t>
  </si>
  <si>
    <t>R2</t>
  </si>
  <si>
    <t>R3</t>
  </si>
  <si>
    <t>Total</t>
  </si>
  <si>
    <t>R1 &amp; R2: team best ball (2 lowest nets per hole) → 20/15/10/5/0. R3: singles net → 15…1 per player, to their team.</t>
  </si>
  <si>
    <t>Individual Mankles · handicap + points per round</t>
  </si>
  <si>
    <t>Player</t>
  </si>
  <si>
    <t>Hcp</t>
  </si>
  <si>
    <t>Birdies+</t>
  </si>
  <si>
    <t>Each round = handicap + Mankles points. Ties on total go to the most birdies (or better) across all rounds.</t>
  </si>
  <si>
    <t>— Working rows below feed the tables above. Don’t type here. —</t>
  </si>
  <si>
    <t>Team totals (working rows — the sorted table is above)</t>
  </si>
  <si>
    <t>Sort key</t>
  </si>
  <si>
    <t>Any round done</t>
  </si>
  <si>
    <t>Mankles totals (working rows)</t>
  </si>
  <si>
    <t>Rounds played</t>
  </si>
  <si>
    <t>DW Invitational 2026 · Backup Scoring Sheet</t>
  </si>
  <si>
    <t>Use this only if the website is down. It follows the same rules as the dashboard.</t>
  </si>
  <si>
    <t>ENTERING SCORES</t>
  </si>
  <si>
    <t>1.</t>
  </si>
  <si>
    <t>Open the tab for the round: R1 Watson (Thu), R2 Palmer (Fri), or R3 Nicklaus (Sat).</t>
  </si>
  <si>
    <t>2.</t>
  </si>
  <si>
    <t>Type each player’s GROSS score in the yellow boxes, one box per hole. Leave unplayed holes blank.</t>
  </si>
  <si>
    <t>3.</t>
  </si>
  <si>
    <t>Everything else is automatic: strokes, net scores, Mankles points, team best ball, skins and the Leaderboard.</t>
  </si>
  <si>
    <t>4.</t>
  </si>
  <si>
    <t>A score that looks like a typo (0, or more than 3× par) is blocked, same as the website.</t>
  </si>
  <si>
    <t>WHAT THE COLORS MEAN</t>
  </si>
  <si>
    <t>Yellow</t>
  </si>
  <si>
    <t>Type here (scores). Round 3 also has a yellow “Group · Tee” column for the Saturday pairings.</t>
  </si>
  <si>
    <t>Blue text</t>
  </si>
  <si>
    <t>Settings you can change: handicaps on the Players tab, skins pot and team place points on the Leaderboard.</t>
  </si>
  <si>
    <t>Gold square</t>
  </si>
  <si>
    <t>Birdie or better. Grey square = double bogey or worse.</t>
  </si>
  <si>
    <t>Grey text</t>
  </si>
  <si>
    <t>Working math. Don’t type over it.</t>
  </si>
  <si>
    <t>THE RULES</t>
  </si>
  <si>
    <t>Strokes</t>
  </si>
  <si>
    <t>Everyone strokes off the field low handicap (Frank Barta, 8): your handicap − 8, on the hardest holes first.</t>
  </si>
  <si>
    <t>R1 &amp; R2</t>
  </si>
  <si>
    <t>Team best ball: on each hole, add the two lowest net scores of the three teammates. Teams rank 1–5 → 20 / 15 / 10 / 5 / 0 points.</t>
  </si>
  <si>
    <t>Singles net: every player’s net total is ranked across the field. 1st = 15 points, down to 15th = 1 point. Points go to the player’s team.</t>
  </si>
  <si>
    <t>Ties</t>
  </si>
  <si>
    <t>Teams or players who tie split the points for the places they share.</t>
  </si>
  <si>
    <t>Mankles</t>
  </si>
  <si>
    <t>Each round = handicap + points on gross vs par: eagle or better 8, birdie 4, par 2, bogey 1, double 0, triple or worse −1. Ties on the 3-round total go to the most birdies.</t>
  </si>
  <si>
    <t>Skins</t>
  </si>
  <si>
    <t>$180 per round. Lowest net on a hole wins the skin outright; ties = no skin, no carry-overs. The pot is split evenly across the skins won.</t>
  </si>
  <si>
    <t>R3 groups</t>
  </si>
  <si>
    <t>After Round 2, the lowest Mankles totals tee off first (10:50 group of 3) and the leaders go last (11:20). Check the Leaderboard and type the groups on the R3 tab.</t>
  </si>
  <si>
    <t>PHONE TIP</t>
  </si>
  <si>
    <t>Excel app</t>
  </si>
  <si>
    <t>Works in the free Excel app on iPhone. Save a copy to OneDrive or iCloud before the trip so it opens without the internet.</t>
  </si>
  <si>
    <t>Skins · $180 per round</t>
  </si>
  <si>
    <t>Lowest net score on a hole wins it outright · ties = no skin · no carry-overs · pot split across skins won</t>
  </si>
  <si>
    <t>R1 skins</t>
  </si>
  <si>
    <t>R1 $</t>
  </si>
  <si>
    <t>R2 skins</t>
  </si>
  <si>
    <t>R2 $</t>
  </si>
  <si>
    <t>R3 skins</t>
  </si>
  <si>
    <t>R3 $</t>
  </si>
  <si>
    <t>Total skins</t>
  </si>
  <si>
    <t>Total $</t>
  </si>
  <si>
    <t>A hole only counts once all 15 players have a score on it. Hole-by-hole winners are under each scorecard on the R1 / R2 / R3 tabs.</t>
  </si>
  <si>
    <t>Round I · Tom Watson — Scorecard</t>
  </si>
  <si>
    <t>Thursday, Nov 5 · Tom Watson · Gold/Blue combo · 71.7/131 tees · par 72</t>
  </si>
  <si>
    <t>Hole</t>
  </si>
  <si>
    <t>Par</t>
  </si>
  <si>
    <t>Hole hcp</t>
  </si>
  <si>
    <t>Group · Tee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</si>
  <si>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</si>
  <si>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</si>
  <si>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</si>
  <si>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</si>
  <si>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</si>
  <si>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</si>
  <si>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</si>
  <si>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</si>
  <si>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</si>
  <si>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</si>
  <si>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</si>
  <si>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</si>
  <si>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</si>
  <si>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</si>
  <si>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</si>
  <si>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</si>
  <si>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</si>
  <si>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</si>
  <si>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Gross</t>
  </si>
  <si>
    <t>Holes</t>
  </si>
  <si>
    <t>Net</t>
  </si>
  <si>
    <t>Mankles pts</t>
  </si>
  <si>
    <t>Mankles round</t>
  </si>
  <si>
    <t>Grp 3 · 11:20 AM</t>
  </si>
  <si>
    <t>Grp 4 · 11:30 AM</t>
  </si>
  <si>
    <t>Grp 1 · 11:00 AM</t>
  </si>
  <si>
    <t>Grp 2 · 11:10 AM</t>
  </si>
  <si>
    <t>Skin winner</t>
  </si>
  <si>
    <t>Skins won</t>
  </si>
  <si>
    <t>$ per skin</t>
  </si>
  <si>
    <t>Handicap strokes on each hole (automatic)</t>
  </si>
  <si>
    <t>Net score on each hole (gross minus strokes)</t>
  </si>
  <si>
    <t>Mankles points on each hole (gross vs par: eagle+ 8, birdie 4, par 2, bogey 1, double 0, triple+ −1)</t>
  </si>
  <si>
    <t>Team best ball — two lowest net scores per hole</t>
  </si>
  <si>
    <t>Best ball</t>
  </si>
  <si>
    <t>Place</t>
  </si>
  <si>
    <t>Team pts</t>
  </si>
  <si>
    <t>A team scores once all 18 holes have at least two net scores. Ties split the points for the places they share.</t>
  </si>
  <si>
    <t>Round II · Arnold Palmer — Scorecard</t>
  </si>
  <si>
    <t>Friday, Nov 6 · Arnold Palmer · Gold · 70.9/133 tees · par 72</t>
  </si>
  <si>
    <t>Grp 3 · 11:10 AM</t>
  </si>
  <si>
    <t>Grp 2 · 11:00 AM</t>
  </si>
  <si>
    <t>Grp 4 · 11:20 AM</t>
  </si>
  <si>
    <t>Grp 1 · 10:50 AM</t>
  </si>
  <si>
    <t>Round III · Jack Nicklaus — Scorecard</t>
  </si>
  <si>
    <t>Saturday, Nov 7 · Jack Nicklaus · Blue tees · par 72</t>
  </si>
  <si>
    <t>Net place</t>
  </si>
  <si>
    <t>Round 3 team points: each player’s full-round net is ranked across the field — 1st = 15 pts down to 15th = 1 pt, ties split. Points go to the player’s team.</t>
  </si>
  <si>
    <t>DW Invitational 2026 · Players &amp; Teams</t>
  </si>
  <si>
    <t>Reunion Resort · Nov 4-8, 2026 · handicaps and teams copied from the dashboard</t>
  </si>
  <si>
    <t>Handicap</t>
  </si>
  <si>
    <t>Strokes (vs low man)</t>
  </si>
  <si>
    <t>Teams</t>
  </si>
  <si>
    <t>Frank Barta</t>
  </si>
  <si>
    <t>Team 2</t>
  </si>
  <si>
    <t>Marc Wydom</t>
  </si>
  <si>
    <t>Skull it and Pray</t>
  </si>
  <si>
    <t>Donnie Muller</t>
  </si>
  <si>
    <t>Team 3</t>
  </si>
  <si>
    <t>Tommy Duncan</t>
  </si>
  <si>
    <t>Wydom’s Woodies</t>
  </si>
  <si>
    <t>Jason Kimbo</t>
  </si>
  <si>
    <t>Putting Balls in the Hole</t>
  </si>
  <si>
    <t>Spencer Friend</t>
  </si>
  <si>
    <t>Ben Young</t>
  </si>
  <si>
    <t>Justin Conrad</t>
  </si>
  <si>
    <t>Shawn McMaster</t>
  </si>
  <si>
    <t>Ian Dempsey</t>
  </si>
  <si>
    <t>Nick Roy</t>
  </si>
  <si>
    <t>Henry Holst</t>
  </si>
  <si>
    <t>Chad Stone</t>
  </si>
  <si>
    <t>Tom Devine</t>
  </si>
  <si>
    <t>Mike Warenda</t>
  </si>
  <si>
    <t>Field low handicap</t>
  </si>
  <si>
    <t>Handicaps (blue) can be edited here and every tab updates. Keep each team’s three players together in this list.</t>
  </si>
  <si>
    <t>Strokes = your handicap minus the field low handicap, given on the hardest holes first (hole handicap 1, 2, 3…).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</si>
</sst>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\$#,##0"/>
    <numFmt numFmtId="166" formatCode="0.#;\-0.#;0"/>
    <numFmt numFmtId="167" formatCode="\$#,##0.00;\-\$#,##0.00;\-"/>
    <numFmt numFmtId="168" formatCode="0;\-0;\-"/>
  </numFmts>
  <fonts count="21" x14ac:knownFonts="1">
    <font>
      <sz val="11"/>
      <color theme="1"/>
      <name val="Calibri"/>
      <family val="2"/>
      <scheme val="minor"/>
    </font>
    <font>
      <b/>
      <sz val="16"/>
      <color rgb="FFF5EFE0"/>
      <name val="Arial"/>
      <family val="2"/>
    </font>
    <font>
      <sz val="10"/>
      <color rgb="FFC9A961"/>
      <name val="Arial"/>
      <family val="2"/>
    </font>
    <font>
      <b/>
      <sz val="10"/>
      <color rgb="FFF5EFE0"/>
      <name val="Arial"/>
      <family val="2"/>
    </font>
    <font>
      <sz val="10"/>
      <color rgb="FF1A1A14"/>
      <name val="Arial"/>
      <family val="2"/>
    </font>
    <font>
      <sz val="10"/>
      <color rgb="FF0000FF"/>
      <name val="Arial"/>
      <family val="2"/>
    </font>
    <font>
      <b/>
      <sz val="10"/>
      <color rgb="FF1A1A14"/>
      <name val="Arial"/>
      <family val="2"/>
    </font>
    <font>
      <i/>
      <sz val="10"/>
      <color rgb="FF8E7637"/>
      <name val="Arial"/>
      <family val="2"/>
    </font>
    <font>
      <sz val="10"/>
      <color rgb="FF063A26"/>
      <name val="Arial"/>
      <family val="2"/>
    </font>
    <font>
      <sz val="9"/>
      <color rgb="FF8E7637"/>
      <name val="Arial"/>
      <family val="2"/>
    </font>
    <font>
      <sz val="9"/>
      <color rgb="FF1A1A14"/>
      <name val="Arial"/>
      <family val="2"/>
    </font>
    <font>
      <sz val="11"/>
      <color rgb="FF0000FF"/>
      <name val="Arial"/>
      <family val="2"/>
    </font>
    <font>
      <b/>
      <sz val="8"/>
      <color rgb="FF063A26"/>
      <name val="Arial"/>
      <family val="2"/>
    </font>
    <font>
      <b/>
      <sz val="11"/>
      <color rgb="FF8E7637"/>
      <name val="Arial"/>
      <family val="2"/>
    </font>
    <font>
      <sz val="10"/>
      <color rgb="FF808080"/>
      <name val="Arial"/>
      <family val="2"/>
    </font>
    <font>
      <b/>
      <sz val="10"/>
      <color rgb="FF0000FF"/>
      <name val="Arial"/>
      <family val="2"/>
    </font>
    <font>
      <i/>
      <sz val="10"/>
      <color rgb="FF808080"/>
      <name val="Arial"/>
      <family val="2"/>
    </font>
    <font>
      <b/>
      <sz val="12"/>
      <color rgb="FF063A26"/>
      <name val="Arial"/>
      <family val="2"/>
    </font>
    <font>
      <b/>
      <sz val="10"/>
      <color rgb="FF063A26"/>
      <name val="Arial"/>
      <family val="2"/>
    </font>
    <font>
      <i/>
      <sz val="9"/>
      <color rgb="FF8E7637"/>
      <name val="Arial"/>
      <family val="2"/>
    </font>
    <font>
      <b/>
      <sz val="10"/>
      <color rgb="FF80808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63A26"/>
        <bgColor rgb="FF063A26"/>
      </patternFill>
    </fill>
    <fill>
      <patternFill patternType="solid">
        <fgColor rgb="FF0E5E3F"/>
        <bgColor rgb="FF0E5E3F"/>
      </patternFill>
    </fill>
    <fill>
      <patternFill patternType="solid">
        <fgColor rgb="FFF5EFE0"/>
        <bgColor rgb="FFF5EFE0"/>
      </patternFill>
    </fill>
    <fill>
      <patternFill patternType="solid">
        <fgColor rgb="FFFFF2CC"/>
        <bgColor rgb="FFFFF2CC"/>
      </patternFill>
    </fill>
    <fill>
      <patternFill patternType="solid">
        <fgColor rgb="FFFAF6EC"/>
        <bgColor rgb="FFFAF6EC"/>
      </patternFill>
    </fill>
    <fill>
      <patternFill patternType="solid">
        <fgColor rgb="FF808080"/>
        <bgColor rgb="FF808080"/>
      </patternFill>
    </fill>
    <fill>
      <patternFill patternType="solid">
        <fgColor rgb="FFC9A961"/>
        <bgColor rgb="FFC9A961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9CFB7"/>
      </left>
      <right style="thin">
        <color rgb="FFD9CFB7"/>
      </right>
      <top style="thin">
        <color rgb="FFD9CFB7"/>
      </top>
      <bottom style="thin">
        <color rgb="FFD9CFB7"/>
      </bottom>
      <diagonal/>
    </border>
    <border>
      <left/>
      <right/>
      <top style="thin">
        <color rgb="FFD9CFB7"/>
      </top>
      <bottom style="thin">
        <color rgb="FFD9CFB7"/>
      </bottom>
      <diagonal/>
    </border>
    <border>
      <left/>
      <right style="thin">
        <color rgb="FFD9CFB7"/>
      </right>
      <top style="thin">
        <color rgb="FFD9CFB7"/>
      </top>
      <bottom style="thin">
        <color rgb="FFD9CFB7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6" borderId="0" xfId="0" applyFill="1"/>
    <xf numFmtId="0" fontId="13" fillId="6" borderId="0" xfId="0" applyFont="1" applyFill="1"/>
    <xf numFmtId="0" fontId="6" fillId="6" borderId="0" xfId="0" applyFont="1" applyFill="1" applyAlignment="1">
      <alignment vertical="top"/>
    </xf>
    <xf numFmtId="0" fontId="4" fillId="6" borderId="0" xfId="0" applyFont="1" applyFill="1" applyAlignment="1">
      <alignment vertical="top" wrapText="1"/>
    </xf>
    <xf numFmtId="0" fontId="6" fillId="5" borderId="0" xfId="0" applyFont="1" applyFill="1" applyAlignment="1">
      <alignment vertical="top"/>
    </xf>
    <xf numFmtId="0" fontId="15" fillId="6" borderId="0" xfId="0" applyFont="1" applyFill="1" applyAlignment="1">
      <alignment vertical="top"/>
    </xf>
    <xf numFmtId="0" fontId="6" fillId="8" borderId="0" xfId="0" applyFont="1" applyFill="1" applyAlignment="1">
      <alignment vertical="top"/>
    </xf>
    <xf numFmtId="0" fontId="20" fillId="6" borderId="0" xfId="0" applyFont="1" applyFill="1" applyAlignment="1">
      <alignment vertical="top"/>
    </xf>
    <xf numFmtId="0" fontId="0" fillId="9" borderId="0" xfId="0" applyFill="1"/>
    <xf numFmtId="165" fontId="15" fillId="9" borderId="0" xfId="0" applyNumberFormat="1" applyFont="1" applyFill="1"/>
    <xf numFmtId="0" fontId="6" fillId="9" borderId="0" xfId="0" applyFont="1" applyFill="1"/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7" fillId="9" borderId="0" xfId="0" applyFont="1" applyFill="1"/>
    <xf numFmtId="0" fontId="3" fillId="3" borderId="1" xfId="0" applyFont="1" applyFill="1" applyBorder="1" applyAlignment="1">
      <alignment horizontal="center" vertical="center"/>
    </xf>
    <xf numFmtId="166" fontId="4" fillId="9" borderId="1" xfId="0" applyNumberFormat="1" applyFont="1" applyFill="1" applyBorder="1" applyAlignment="1">
      <alignment horizontal="center" vertical="center"/>
    </xf>
    <xf numFmtId="166" fontId="6" fillId="9" borderId="1" xfId="0" applyNumberFormat="1" applyFont="1" applyFill="1" applyBorder="1" applyAlignment="1">
      <alignment horizontal="left" vertical="center"/>
    </xf>
    <xf numFmtId="166" fontId="18" fillId="9" borderId="1" xfId="0" applyNumberFormat="1" applyFont="1" applyFill="1" applyBorder="1" applyAlignment="1">
      <alignment horizontal="center" vertical="center"/>
    </xf>
    <xf numFmtId="0" fontId="19" fillId="9" borderId="0" xfId="0" applyFont="1" applyFill="1"/>
    <xf numFmtId="0" fontId="6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18" fillId="9" borderId="1" xfId="0" applyFont="1" applyFill="1" applyBorder="1" applyAlignment="1">
      <alignment horizontal="center" vertical="center"/>
    </xf>
    <xf numFmtId="0" fontId="16" fillId="9" borderId="0" xfId="0" applyFont="1" applyFill="1"/>
    <xf numFmtId="0" fontId="3" fillId="7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168" fontId="4" fillId="9" borderId="1" xfId="0" applyNumberFormat="1" applyFont="1" applyFill="1" applyBorder="1" applyAlignment="1">
      <alignment horizontal="center" vertical="center"/>
    </xf>
    <xf numFmtId="167" fontId="4" fillId="9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8" fontId="6" fillId="4" borderId="1" xfId="0" applyNumberFormat="1" applyFont="1" applyFill="1" applyBorder="1" applyAlignment="1">
      <alignment horizontal="center" vertical="center"/>
    </xf>
    <xf numFmtId="167" fontId="6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/>
    </xf>
    <xf numFmtId="0" fontId="8" fillId="4" borderId="1" xfId="0" applyFont="1" applyFill="1" applyBorder="1" applyAlignment="1">
      <alignment horizontal="right"/>
    </xf>
    <xf numFmtId="0" fontId="8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right"/>
    </xf>
    <xf numFmtId="0" fontId="12" fillId="4" borderId="1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right"/>
    </xf>
    <xf numFmtId="164" fontId="6" fillId="9" borderId="0" xfId="0" applyNumberFormat="1" applyFont="1" applyFill="1"/>
    <xf numFmtId="0" fontId="13" fillId="9" borderId="0" xfId="0" applyFont="1" applyFill="1"/>
    <xf numFmtId="0" fontId="14" fillId="9" borderId="1" xfId="0" applyFont="1" applyFill="1" applyBorder="1" applyAlignment="1">
      <alignment horizontal="left" vertical="center"/>
    </xf>
    <xf numFmtId="0" fontId="7" fillId="9" borderId="0" xfId="0" applyFont="1" applyFill="1"/>
    <xf numFmtId="0" fontId="10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0" fillId="9" borderId="2" xfId="0" applyFill="1" applyBorder="1"/>
    <xf numFmtId="0" fontId="0" fillId="9" borderId="3" xfId="0" applyFill="1" applyBorder="1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 patternType="solid">
          <fgColor rgb="FFE6E1D3"/>
          <bgColor rgb="FFE6E1D3"/>
        </patternFill>
      </fill>
    </dxf>
    <dxf>
      <font>
        <b/>
        <color rgb="FF063A26"/>
        <name val="Arial"/>
      </font>
      <fill>
        <patternFill patternType="solid">
          <fgColor rgb="FFC9A961"/>
          <bgColor rgb="FFC9A961"/>
        </patternFill>
      </fill>
    </dxf>
    <dxf>
      <fill>
        <patternFill patternType="solid">
          <fgColor rgb="FFE6E1D3"/>
          <bgColor rgb="FFE6E1D3"/>
        </patternFill>
      </fill>
    </dxf>
    <dxf>
      <font>
        <b/>
        <color rgb="FF063A26"/>
        <name val="Arial"/>
      </font>
      <fill>
        <patternFill patternType="solid">
          <fgColor rgb="FFC9A961"/>
          <bgColor rgb="FFC9A961"/>
        </patternFill>
      </fill>
    </dxf>
    <dxf>
      <fill>
        <patternFill patternType="solid">
          <fgColor rgb="FFE6E1D3"/>
          <bgColor rgb="FFE6E1D3"/>
        </patternFill>
      </fill>
    </dxf>
    <dxf>
      <font>
        <b/>
        <color rgb="FF063A26"/>
        <name val="Arial"/>
      </font>
      <fill>
        <patternFill patternType="solid">
          <fgColor rgb="FFC9A961"/>
          <bgColor rgb="FFC9A961"/>
        </patternFill>
      </fill>
    </dxf>
    <dxf>
      <fill>
        <patternFill patternType="solid">
          <fgColor rgb="FFF3E7C4"/>
          <bgColor rgb="FFF3E7C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961"/>
  </sheetPr>
  <dimension ref="A1:D31"/>
  <sheetViews>
    <sheetView showGridLines="0" workbookViewId="0"/>
  </sheetViews>
  <sheetFormatPr baseColWidth="10" defaultColWidth="8.83203125" defaultRowHeight="15" x14ac:dyDescent="0.2"/>
  <cols>
    <col min="1" max="1" width="14" customWidth="1"/>
    <col min="2" max="2" width="110" customWidth="1"/>
  </cols>
  <sheetData>
    <row r="1" spans="1:4" ht="26" customHeight="1" x14ac:dyDescent="0.2">
      <c r="A1" s="52" t="s">
        <v>28</v>
      </c>
      <c r="B1" s="53"/>
      <c r="C1" s="1"/>
      <c r="D1" s="1"/>
    </row>
    <row r="2" spans="1:4" x14ac:dyDescent="0.2">
      <c r="A2" s="54" t="s">
        <v>29</v>
      </c>
      <c r="B2" s="53"/>
      <c r="C2" s="1"/>
      <c r="D2" s="1"/>
    </row>
    <row r="3" spans="1:4" x14ac:dyDescent="0.2">
      <c r="A3" s="1"/>
      <c r="B3" s="1"/>
      <c r="C3" s="1"/>
      <c r="D3" s="1"/>
    </row>
    <row r="4" spans="1:4" x14ac:dyDescent="0.2">
      <c r="A4" s="2" t="s">
        <v>30</v>
      </c>
      <c r="B4" s="1"/>
      <c r="C4" s="1"/>
      <c r="D4" s="1"/>
    </row>
    <row r="5" spans="1:4" x14ac:dyDescent="0.2">
      <c r="A5" s="3" t="s">
        <v>31</v>
      </c>
      <c r="B5" s="4" t="s">
        <v>32</v>
      </c>
      <c r="C5" s="1"/>
      <c r="D5" s="1"/>
    </row>
    <row r="6" spans="1:4" x14ac:dyDescent="0.2">
      <c r="A6" s="3" t="s">
        <v>33</v>
      </c>
      <c r="B6" s="4" t="s">
        <v>34</v>
      </c>
      <c r="C6" s="1"/>
      <c r="D6" s="1"/>
    </row>
    <row r="7" spans="1:4" x14ac:dyDescent="0.2">
      <c r="A7" s="3" t="s">
        <v>35</v>
      </c>
      <c r="B7" s="4" t="s">
        <v>36</v>
      </c>
      <c r="C7" s="1"/>
      <c r="D7" s="1"/>
    </row>
    <row r="8" spans="1:4" x14ac:dyDescent="0.2">
      <c r="A8" s="3" t="s">
        <v>37</v>
      </c>
      <c r="B8" s="4" t="s">
        <v>38</v>
      </c>
      <c r="C8" s="1"/>
      <c r="D8" s="1"/>
    </row>
    <row r="9" spans="1:4" x14ac:dyDescent="0.2">
      <c r="A9" s="3"/>
      <c r="B9" s="4"/>
      <c r="C9" s="1"/>
      <c r="D9" s="1"/>
    </row>
    <row r="10" spans="1:4" x14ac:dyDescent="0.2">
      <c r="A10" s="2" t="s">
        <v>39</v>
      </c>
      <c r="B10" s="1"/>
      <c r="C10" s="1"/>
      <c r="D10" s="1"/>
    </row>
    <row r="11" spans="1:4" x14ac:dyDescent="0.2">
      <c r="A11" s="5" t="s">
        <v>40</v>
      </c>
      <c r="B11" s="4" t="s">
        <v>41</v>
      </c>
      <c r="C11" s="1"/>
      <c r="D11" s="1"/>
    </row>
    <row r="12" spans="1:4" x14ac:dyDescent="0.2">
      <c r="A12" s="6" t="s">
        <v>42</v>
      </c>
      <c r="B12" s="4" t="s">
        <v>43</v>
      </c>
      <c r="C12" s="1"/>
      <c r="D12" s="1"/>
    </row>
    <row r="13" spans="1:4" x14ac:dyDescent="0.2">
      <c r="A13" s="7" t="s">
        <v>44</v>
      </c>
      <c r="B13" s="4" t="s">
        <v>45</v>
      </c>
      <c r="C13" s="1"/>
      <c r="D13" s="1"/>
    </row>
    <row r="14" spans="1:4" x14ac:dyDescent="0.2">
      <c r="A14" s="8" t="s">
        <v>46</v>
      </c>
      <c r="B14" s="4" t="s">
        <v>47</v>
      </c>
      <c r="C14" s="1"/>
      <c r="D14" s="1"/>
    </row>
    <row r="15" spans="1:4" x14ac:dyDescent="0.2">
      <c r="A15" s="3"/>
      <c r="B15" s="4"/>
      <c r="C15" s="1"/>
      <c r="D15" s="1"/>
    </row>
    <row r="16" spans="1:4" x14ac:dyDescent="0.2">
      <c r="A16" s="2" t="s">
        <v>48</v>
      </c>
      <c r="B16" s="1"/>
      <c r="C16" s="1"/>
      <c r="D16" s="1"/>
    </row>
    <row r="17" spans="1:4" x14ac:dyDescent="0.2">
      <c r="A17" s="3" t="s">
        <v>49</v>
      </c>
      <c r="B17" s="4" t="s">
        <v>50</v>
      </c>
      <c r="C17" s="1"/>
      <c r="D17" s="1"/>
    </row>
    <row r="18" spans="1:4" x14ac:dyDescent="0.2">
      <c r="A18" s="3" t="s">
        <v>51</v>
      </c>
      <c r="B18" s="4" t="s">
        <v>52</v>
      </c>
      <c r="C18" s="1"/>
      <c r="D18" s="1"/>
    </row>
    <row r="19" spans="1:4" x14ac:dyDescent="0.2">
      <c r="A19" s="3" t="s">
        <v>14</v>
      </c>
      <c r="B19" s="4" t="s">
        <v>53</v>
      </c>
      <c r="C19" s="1"/>
      <c r="D19" s="1"/>
    </row>
    <row r="20" spans="1:4" x14ac:dyDescent="0.2">
      <c r="A20" s="3" t="s">
        <v>54</v>
      </c>
      <c r="B20" s="4" t="s">
        <v>55</v>
      </c>
      <c r="C20" s="1"/>
      <c r="D20" s="1"/>
    </row>
    <row r="21" spans="1:4" ht="28" x14ac:dyDescent="0.2">
      <c r="A21" s="3" t="s">
        <v>56</v>
      </c>
      <c r="B21" s="4" t="s">
        <v>57</v>
      </c>
      <c r="C21" s="1"/>
      <c r="D21" s="1"/>
    </row>
    <row r="22" spans="1:4" x14ac:dyDescent="0.2">
      <c r="A22" s="3" t="s">
        <v>58</v>
      </c>
      <c r="B22" s="4" t="s">
        <v>59</v>
      </c>
      <c r="C22" s="1"/>
      <c r="D22" s="1"/>
    </row>
    <row r="23" spans="1:4" ht="28" x14ac:dyDescent="0.2">
      <c r="A23" s="3" t="s">
        <v>60</v>
      </c>
      <c r="B23" s="4" t="s">
        <v>61</v>
      </c>
      <c r="C23" s="1"/>
      <c r="D23" s="1"/>
    </row>
    <row r="24" spans="1:4" x14ac:dyDescent="0.2">
      <c r="A24" s="3"/>
      <c r="B24" s="4"/>
      <c r="C24" s="1"/>
      <c r="D24" s="1"/>
    </row>
    <row r="25" spans="1:4" x14ac:dyDescent="0.2">
      <c r="A25" s="2" t="s">
        <v>62</v>
      </c>
      <c r="B25" s="1"/>
      <c r="C25" s="1"/>
      <c r="D25" s="1"/>
    </row>
    <row r="26" spans="1:4" x14ac:dyDescent="0.2">
      <c r="A26" s="3" t="s">
        <v>63</v>
      </c>
      <c r="B26" s="4" t="s">
        <v>64</v>
      </c>
      <c r="C26" s="1"/>
      <c r="D26" s="1"/>
    </row>
    <row r="27" spans="1:4" x14ac:dyDescent="0.2">
      <c r="A27" s="1"/>
      <c r="B27" s="1"/>
      <c r="C27" s="1"/>
      <c r="D27" s="1"/>
    </row>
    <row r="28" spans="1:4" x14ac:dyDescent="0.2">
      <c r="A28" s="1"/>
      <c r="B28" s="1"/>
      <c r="C28" s="1"/>
      <c r="D28" s="1"/>
    </row>
    <row r="29" spans="1:4" x14ac:dyDescent="0.2">
      <c r="A29" s="1"/>
      <c r="B29" s="1"/>
      <c r="C29" s="1"/>
      <c r="D29" s="1"/>
    </row>
    <row r="30" spans="1:4" x14ac:dyDescent="0.2">
      <c r="A30" s="1"/>
      <c r="B30" s="1"/>
      <c r="C30" s="1"/>
      <c r="D30" s="1"/>
    </row>
    <row r="31" spans="1:4" x14ac:dyDescent="0.2">
      <c r="A31" s="1"/>
      <c r="B31" s="1"/>
      <c r="C31" s="1"/>
      <c r="D31" s="1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63A26"/>
  </sheetPr>
  <dimension ref="A1:L71"/>
  <sheetViews>
    <sheetView showGridLines="0" tabSelected="1" zoomScale="110" workbookViewId="0">
      <selection sqref="A1:I1"/>
    </sheetView>
  </sheetViews>
  <sheetFormatPr baseColWidth="10" defaultColWidth="8.83203125" defaultRowHeight="15" x14ac:dyDescent="0.2"/>
  <cols>
    <col min="1" max="1" width="18" customWidth="1"/>
    <col min="2" max="2" width="24" customWidth="1"/>
    <col min="3" max="3" width="22" customWidth="1"/>
    <col min="4" max="7" width="7" customWidth="1"/>
    <col min="8" max="9" width="9" customWidth="1"/>
    <col min="10" max="10" width="12" customWidth="1"/>
  </cols>
  <sheetData>
    <row r="1" spans="1:12" ht="26" customHeight="1" x14ac:dyDescent="0.2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9"/>
      <c r="K1" s="9"/>
      <c r="L1" s="9"/>
    </row>
    <row r="2" spans="1:12" x14ac:dyDescent="0.2">
      <c r="A2" s="54" t="s">
        <v>1</v>
      </c>
      <c r="B2" s="53"/>
      <c r="C2" s="53"/>
      <c r="D2" s="53"/>
      <c r="E2" s="53"/>
      <c r="F2" s="53"/>
      <c r="G2" s="53"/>
      <c r="H2" s="53"/>
      <c r="I2" s="53"/>
      <c r="J2" s="9"/>
      <c r="K2" s="9"/>
      <c r="L2" s="9"/>
    </row>
    <row r="3" spans="1:12" x14ac:dyDescent="0.2">
      <c r="A3" s="9" t="s">
        <v>2</v>
      </c>
      <c r="B3" s="10">
        <v>180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x14ac:dyDescent="0.2">
      <c r="A4" s="11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x14ac:dyDescent="0.2">
      <c r="A5" s="12" t="s">
        <v>4</v>
      </c>
      <c r="B5" s="13">
        <v>20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x14ac:dyDescent="0.2">
      <c r="A6" s="12" t="s">
        <v>5</v>
      </c>
      <c r="B6" s="13">
        <v>15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">
      <c r="A7" s="12" t="s">
        <v>6</v>
      </c>
      <c r="B7" s="13">
        <v>10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">
      <c r="A8" s="12" t="s">
        <v>7</v>
      </c>
      <c r="B8" s="13">
        <v>5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">
      <c r="A9" s="12" t="s">
        <v>8</v>
      </c>
      <c r="B9" s="13">
        <v>0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ht="16" x14ac:dyDescent="0.2">
      <c r="A11" s="14" t="s">
        <v>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">
      <c r="A12" s="15" t="s">
        <v>10</v>
      </c>
      <c r="B12" s="15" t="s">
        <v>11</v>
      </c>
      <c r="C12" s="15" t="s">
        <v>12</v>
      </c>
      <c r="D12" s="15" t="s">
        <v>13</v>
      </c>
      <c r="E12" s="15" t="s">
        <v>14</v>
      </c>
      <c r="F12" s="15" t="s">
        <v>15</v>
      </c>
      <c r="G12" s="9"/>
      <c r="H12" s="9"/>
      <c r="I12" s="9"/>
      <c r="J12" s="9"/>
      <c r="K12" s="9"/>
      <c r="L12" s="9"/>
    </row>
    <row r="13" spans="1:12" x14ac:dyDescent="0.2">
      <c r="A13" s="16" t="str">
        <f ca="1">IF(G43+G44+G45+G46+G47=0,"—",1)</f>
        <v>—</v>
      </c>
      <c r="B13" s="17" t="str">
        <f ca="1">INDEX($A$43:$A$47,MATCH(LARGE($F$43:$F$47,1),$F$43:$F$47,0))</f>
        <v>Team 2</v>
      </c>
      <c r="C13" s="16" t="str">
        <f ca="1">IF(INDEX($B$43:$B$47,MATCH(LARGE($F$43:$F$47,1),$F$43:$F$47,0))="","—",INDEX($B$43:$B$47,MATCH(LARGE($F$43:$F$47,1),$F$43:$F$47,0)))</f>
        <v>—</v>
      </c>
      <c r="D13" s="16" t="str">
        <f ca="1">IF(INDEX($C$43:$C$47,MATCH(LARGE($F$43:$F$47,1),$F$43:$F$47,0))="","—",INDEX($C$43:$C$47,MATCH(LARGE($F$43:$F$47,1),$F$43:$F$47,0)))</f>
        <v>—</v>
      </c>
      <c r="E13" s="16" t="str">
        <f ca="1">IF(INDEX($D$43:$D$47,MATCH(LARGE($F$43:$F$47,1),$F$43:$F$47,0))="","—",INDEX($D$43:$D$47,MATCH(LARGE($F$43:$F$47,1),$F$43:$F$47,0)))</f>
        <v>—</v>
      </c>
      <c r="F13" s="18" t="str">
        <f ca="1">IF(INDEX($G$43:$G$47,MATCH(LARGE($F$43:$F$47,1),$F$43:$F$47,0)),INDEX($E$43:$E$47,MATCH(LARGE($F$43:$F$47,1),$F$43:$F$47,0)),"—")</f>
        <v>—</v>
      </c>
      <c r="G13" s="9"/>
      <c r="H13" s="9"/>
      <c r="I13" s="9"/>
      <c r="J13" s="9"/>
      <c r="K13" s="9"/>
      <c r="L13" s="9"/>
    </row>
    <row r="14" spans="1:12" x14ac:dyDescent="0.2">
      <c r="A14" s="16" t="str">
        <f ca="1">IF(G43+G44+G45+G46+G47=0,"—",2)</f>
        <v>—</v>
      </c>
      <c r="B14" s="17" t="str">
        <f ca="1">INDEX($A$43:$A$47,MATCH(LARGE($F$43:$F$47,2),$F$43:$F$47,0))</f>
        <v>Skull it and Pray</v>
      </c>
      <c r="C14" s="16" t="str">
        <f ca="1">IF(INDEX($B$43:$B$47,MATCH(LARGE($F$43:$F$47,2),$F$43:$F$47,0))="","—",INDEX($B$43:$B$47,MATCH(LARGE($F$43:$F$47,2),$F$43:$F$47,0)))</f>
        <v>—</v>
      </c>
      <c r="D14" s="16" t="str">
        <f ca="1">IF(INDEX($C$43:$C$47,MATCH(LARGE($F$43:$F$47,2),$F$43:$F$47,0))="","—",INDEX($C$43:$C$47,MATCH(LARGE($F$43:$F$47,2),$F$43:$F$47,0)))</f>
        <v>—</v>
      </c>
      <c r="E14" s="16" t="str">
        <f ca="1">IF(INDEX($D$43:$D$47,MATCH(LARGE($F$43:$F$47,2),$F$43:$F$47,0))="","—",INDEX($D$43:$D$47,MATCH(LARGE($F$43:$F$47,2),$F$43:$F$47,0)))</f>
        <v>—</v>
      </c>
      <c r="F14" s="18" t="str">
        <f ca="1">IF(INDEX($G$43:$G$47,MATCH(LARGE($F$43:$F$47,2),$F$43:$F$47,0)),INDEX($E$43:$E$47,MATCH(LARGE($F$43:$F$47,2),$F$43:$F$47,0)),"—")</f>
        <v>—</v>
      </c>
      <c r="G14" s="9"/>
      <c r="H14" s="9"/>
      <c r="I14" s="9"/>
      <c r="J14" s="9"/>
      <c r="K14" s="9"/>
      <c r="L14" s="9"/>
    </row>
    <row r="15" spans="1:12" x14ac:dyDescent="0.2">
      <c r="A15" s="16" t="str">
        <f ca="1">IF(G43+G44+G45+G46+G47=0,"—",3)</f>
        <v>—</v>
      </c>
      <c r="B15" s="17" t="str">
        <f ca="1">INDEX($A$43:$A$47,MATCH(LARGE($F$43:$F$47,3),$F$43:$F$47,0))</f>
        <v>Team 3</v>
      </c>
      <c r="C15" s="16" t="str">
        <f ca="1">IF(INDEX($B$43:$B$47,MATCH(LARGE($F$43:$F$47,3),$F$43:$F$47,0))="","—",INDEX($B$43:$B$47,MATCH(LARGE($F$43:$F$47,3),$F$43:$F$47,0)))</f>
        <v>—</v>
      </c>
      <c r="D15" s="16" t="str">
        <f ca="1">IF(INDEX($C$43:$C$47,MATCH(LARGE($F$43:$F$47,3),$F$43:$F$47,0))="","—",INDEX($C$43:$C$47,MATCH(LARGE($F$43:$F$47,3),$F$43:$F$47,0)))</f>
        <v>—</v>
      </c>
      <c r="E15" s="16" t="str">
        <f ca="1">IF(INDEX($D$43:$D$47,MATCH(LARGE($F$43:$F$47,3),$F$43:$F$47,0))="","—",INDEX($D$43:$D$47,MATCH(LARGE($F$43:$F$47,3),$F$43:$F$47,0)))</f>
        <v>—</v>
      </c>
      <c r="F15" s="18" t="str">
        <f ca="1">IF(INDEX($G$43:$G$47,MATCH(LARGE($F$43:$F$47,3),$F$43:$F$47,0)),INDEX($E$43:$E$47,MATCH(LARGE($F$43:$F$47,3),$F$43:$F$47,0)),"—")</f>
        <v>—</v>
      </c>
      <c r="G15" s="9"/>
      <c r="H15" s="9"/>
      <c r="I15" s="9"/>
      <c r="J15" s="9"/>
      <c r="K15" s="9"/>
      <c r="L15" s="9"/>
    </row>
    <row r="16" spans="1:12" x14ac:dyDescent="0.2">
      <c r="A16" s="16" t="str">
        <f ca="1">IF(G43+G44+G45+G46+G47=0,"—",4)</f>
        <v>—</v>
      </c>
      <c r="B16" s="17" t="str">
        <f ca="1">INDEX($A$43:$A$47,MATCH(LARGE($F$43:$F$47,4),$F$43:$F$47,0))</f>
        <v>Wydom’s Woodies</v>
      </c>
      <c r="C16" s="16" t="str">
        <f ca="1">IF(INDEX($B$43:$B$47,MATCH(LARGE($F$43:$F$47,4),$F$43:$F$47,0))="","—",INDEX($B$43:$B$47,MATCH(LARGE($F$43:$F$47,4),$F$43:$F$47,0)))</f>
        <v>—</v>
      </c>
      <c r="D16" s="16" t="str">
        <f ca="1">IF(INDEX($C$43:$C$47,MATCH(LARGE($F$43:$F$47,4),$F$43:$F$47,0))="","—",INDEX($C$43:$C$47,MATCH(LARGE($F$43:$F$47,4),$F$43:$F$47,0)))</f>
        <v>—</v>
      </c>
      <c r="E16" s="16" t="str">
        <f ca="1">IF(INDEX($D$43:$D$47,MATCH(LARGE($F$43:$F$47,4),$F$43:$F$47,0))="","—",INDEX($D$43:$D$47,MATCH(LARGE($F$43:$F$47,4),$F$43:$F$47,0)))</f>
        <v>—</v>
      </c>
      <c r="F16" s="18" t="str">
        <f ca="1">IF(INDEX($G$43:$G$47,MATCH(LARGE($F$43:$F$47,4),$F$43:$F$47,0)),INDEX($E$43:$E$47,MATCH(LARGE($F$43:$F$47,4),$F$43:$F$47,0)),"—")</f>
        <v>—</v>
      </c>
      <c r="G16" s="9"/>
      <c r="H16" s="9"/>
      <c r="I16" s="9"/>
      <c r="J16" s="9"/>
      <c r="K16" s="9"/>
      <c r="L16" s="9"/>
    </row>
    <row r="17" spans="1:12" x14ac:dyDescent="0.2">
      <c r="A17" s="16" t="str">
        <f ca="1">IF(G43+G44+G45+G46+G47=0,"—",5)</f>
        <v>—</v>
      </c>
      <c r="B17" s="17" t="str">
        <f ca="1">INDEX($A$43:$A$47,MATCH(LARGE($F$43:$F$47,5),$F$43:$F$47,0))</f>
        <v>Putting Balls in the Hole</v>
      </c>
      <c r="C17" s="16" t="str">
        <f ca="1">IF(INDEX($B$43:$B$47,MATCH(LARGE($F$43:$F$47,5),$F$43:$F$47,0))="","—",INDEX($B$43:$B$47,MATCH(LARGE($F$43:$F$47,5),$F$43:$F$47,0)))</f>
        <v>—</v>
      </c>
      <c r="D17" s="16" t="str">
        <f ca="1">IF(INDEX($C$43:$C$47,MATCH(LARGE($F$43:$F$47,5),$F$43:$F$47,0))="","—",INDEX($C$43:$C$47,MATCH(LARGE($F$43:$F$47,5),$F$43:$F$47,0)))</f>
        <v>—</v>
      </c>
      <c r="E17" s="16" t="str">
        <f ca="1">IF(INDEX($D$43:$D$47,MATCH(LARGE($F$43:$F$47,5),$F$43:$F$47,0))="","—",INDEX($D$43:$D$47,MATCH(LARGE($F$43:$F$47,5),$F$43:$F$47,0)))</f>
        <v>—</v>
      </c>
      <c r="F17" s="18" t="str">
        <f ca="1">IF(INDEX($G$43:$G$47,MATCH(LARGE($F$43:$F$47,5),$F$43:$F$47,0)),INDEX($E$43:$E$47,MATCH(LARGE($F$43:$F$47,5),$F$43:$F$47,0)),"—")</f>
        <v>—</v>
      </c>
      <c r="G17" s="9"/>
      <c r="H17" s="9"/>
      <c r="I17" s="9"/>
      <c r="J17" s="9"/>
      <c r="K17" s="9"/>
      <c r="L17" s="9"/>
    </row>
    <row r="18" spans="1:12" x14ac:dyDescent="0.2">
      <c r="A18" s="19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16" x14ac:dyDescent="0.2">
      <c r="A20" s="14" t="s">
        <v>17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">
      <c r="A21" s="15" t="s">
        <v>10</v>
      </c>
      <c r="B21" s="15" t="s">
        <v>18</v>
      </c>
      <c r="C21" s="15" t="s">
        <v>11</v>
      </c>
      <c r="D21" s="15" t="s">
        <v>19</v>
      </c>
      <c r="E21" s="15" t="s">
        <v>12</v>
      </c>
      <c r="F21" s="15" t="s">
        <v>13</v>
      </c>
      <c r="G21" s="15" t="s">
        <v>14</v>
      </c>
      <c r="H21" s="15" t="s">
        <v>15</v>
      </c>
      <c r="I21" s="15" t="s">
        <v>20</v>
      </c>
      <c r="J21" s="9"/>
      <c r="K21" s="9"/>
      <c r="L21" s="9"/>
    </row>
    <row r="22" spans="1:12" x14ac:dyDescent="0.2">
      <c r="A22" s="12" t="str">
        <f>IF(SUM($J$52:$J$66)=0,"—",1)</f>
        <v>—</v>
      </c>
      <c r="B22" s="20" t="str">
        <f>INDEX($A$52:$A$66,MATCH(LARGE($I$52:$I$66,1),$I$52:$I$66,0))</f>
        <v>Frank Barta</v>
      </c>
      <c r="C22" s="21" t="str">
        <f>INDEX($B$52:$B$66,MATCH(LARGE($I$52:$I$66,1),$I$52:$I$66,0))</f>
        <v>Team 2</v>
      </c>
      <c r="D22" s="12">
        <f>INDEX($C$52:$C$66,MATCH(LARGE($I$52:$I$66,1),$I$52:$I$66,0))</f>
        <v>8</v>
      </c>
      <c r="E22" s="12" t="str">
        <f>IF(INDEX($D$52:$D$66,MATCH(LARGE($I$52:$I$66,1),$I$52:$I$66,0))="","—",INDEX($D$52:$D$66,MATCH(LARGE($I$52:$I$66,1),$I$52:$I$66,0)))</f>
        <v>—</v>
      </c>
      <c r="F22" s="12" t="str">
        <f>IF(INDEX($E$52:$E$66,MATCH(LARGE($I$52:$I$66,1),$I$52:$I$66,0))="","—",INDEX($E$52:$E$66,MATCH(LARGE($I$52:$I$66,1),$I$52:$I$66,0)))</f>
        <v>—</v>
      </c>
      <c r="G22" s="12" t="str">
        <f>IF(INDEX($F$52:$F$66,MATCH(LARGE($I$52:$I$66,1),$I$52:$I$66,0))="","—",INDEX($F$52:$F$66,MATCH(LARGE($I$52:$I$66,1),$I$52:$I$66,0)))</f>
        <v>—</v>
      </c>
      <c r="H22" s="22" t="str">
        <f>IF(INDEX($J$52:$J$66,MATCH(LARGE($I$52:$I$66,1),$I$52:$I$66,0))=0,"—",INDEX($G$52:$G$66,MATCH(LARGE($I$52:$I$66,1),$I$52:$I$66,0)))</f>
        <v>—</v>
      </c>
      <c r="I22" s="12">
        <f>INDEX($H$52:$H$66,MATCH(LARGE($I$52:$I$66,1),$I$52:$I$66,0))</f>
        <v>0</v>
      </c>
      <c r="J22" s="9"/>
      <c r="K22" s="9"/>
      <c r="L22" s="9"/>
    </row>
    <row r="23" spans="1:12" x14ac:dyDescent="0.2">
      <c r="A23" s="12" t="str">
        <f>IF(SUM($J$52:$J$66)=0,"—",2)</f>
        <v>—</v>
      </c>
      <c r="B23" s="20" t="str">
        <f>INDEX($A$52:$A$66,MATCH(LARGE($I$52:$I$66,2),$I$52:$I$66,0))</f>
        <v>Marc Wydom</v>
      </c>
      <c r="C23" s="21" t="str">
        <f>INDEX($B$52:$B$66,MATCH(LARGE($I$52:$I$66,2),$I$52:$I$66,0))</f>
        <v>Team 2</v>
      </c>
      <c r="D23" s="12">
        <f>INDEX($C$52:$C$66,MATCH(LARGE($I$52:$I$66,2),$I$52:$I$66,0))</f>
        <v>16</v>
      </c>
      <c r="E23" s="12" t="str">
        <f>IF(INDEX($D$52:$D$66,MATCH(LARGE($I$52:$I$66,2),$I$52:$I$66,0))="","—",INDEX($D$52:$D$66,MATCH(LARGE($I$52:$I$66,2),$I$52:$I$66,0)))</f>
        <v>—</v>
      </c>
      <c r="F23" s="12" t="str">
        <f>IF(INDEX($E$52:$E$66,MATCH(LARGE($I$52:$I$66,2),$I$52:$I$66,0))="","—",INDEX($E$52:$E$66,MATCH(LARGE($I$52:$I$66,2),$I$52:$I$66,0)))</f>
        <v>—</v>
      </c>
      <c r="G23" s="12" t="str">
        <f>IF(INDEX($F$52:$F$66,MATCH(LARGE($I$52:$I$66,2),$I$52:$I$66,0))="","—",INDEX($F$52:$F$66,MATCH(LARGE($I$52:$I$66,2),$I$52:$I$66,0)))</f>
        <v>—</v>
      </c>
      <c r="H23" s="22" t="str">
        <f>IF(INDEX($J$52:$J$66,MATCH(LARGE($I$52:$I$66,2),$I$52:$I$66,0))=0,"—",INDEX($G$52:$G$66,MATCH(LARGE($I$52:$I$66,2),$I$52:$I$66,0)))</f>
        <v>—</v>
      </c>
      <c r="I23" s="12">
        <f>INDEX($H$52:$H$66,MATCH(LARGE($I$52:$I$66,2),$I$52:$I$66,0))</f>
        <v>0</v>
      </c>
      <c r="J23" s="9"/>
      <c r="K23" s="9"/>
      <c r="L23" s="9"/>
    </row>
    <row r="24" spans="1:12" x14ac:dyDescent="0.2">
      <c r="A24" s="12" t="str">
        <f>IF(SUM($J$52:$J$66)=0,"—",3)</f>
        <v>—</v>
      </c>
      <c r="B24" s="20" t="str">
        <f>INDEX($A$52:$A$66,MATCH(LARGE($I$52:$I$66,3),$I$52:$I$66,0))</f>
        <v>Donnie Muller</v>
      </c>
      <c r="C24" s="21" t="str">
        <f>INDEX($B$52:$B$66,MATCH(LARGE($I$52:$I$66,3),$I$52:$I$66,0))</f>
        <v>Team 2</v>
      </c>
      <c r="D24" s="12">
        <f>INDEX($C$52:$C$66,MATCH(LARGE($I$52:$I$66,3),$I$52:$I$66,0))</f>
        <v>19</v>
      </c>
      <c r="E24" s="12" t="str">
        <f>IF(INDEX($D$52:$D$66,MATCH(LARGE($I$52:$I$66,3),$I$52:$I$66,0))="","—",INDEX($D$52:$D$66,MATCH(LARGE($I$52:$I$66,3),$I$52:$I$66,0)))</f>
        <v>—</v>
      </c>
      <c r="F24" s="12" t="str">
        <f>IF(INDEX($E$52:$E$66,MATCH(LARGE($I$52:$I$66,3),$I$52:$I$66,0))="","—",INDEX($E$52:$E$66,MATCH(LARGE($I$52:$I$66,3),$I$52:$I$66,0)))</f>
        <v>—</v>
      </c>
      <c r="G24" s="12" t="str">
        <f>IF(INDEX($F$52:$F$66,MATCH(LARGE($I$52:$I$66,3),$I$52:$I$66,0))="","—",INDEX($F$52:$F$66,MATCH(LARGE($I$52:$I$66,3),$I$52:$I$66,0)))</f>
        <v>—</v>
      </c>
      <c r="H24" s="22" t="str">
        <f>IF(INDEX($J$52:$J$66,MATCH(LARGE($I$52:$I$66,3),$I$52:$I$66,0))=0,"—",INDEX($G$52:$G$66,MATCH(LARGE($I$52:$I$66,3),$I$52:$I$66,0)))</f>
        <v>—</v>
      </c>
      <c r="I24" s="12">
        <f>INDEX($H$52:$H$66,MATCH(LARGE($I$52:$I$66,3),$I$52:$I$66,0))</f>
        <v>0</v>
      </c>
      <c r="J24" s="9"/>
      <c r="K24" s="9"/>
      <c r="L24" s="9"/>
    </row>
    <row r="25" spans="1:12" x14ac:dyDescent="0.2">
      <c r="A25" s="12" t="str">
        <f>IF(SUM($J$52:$J$66)=0,"—",4)</f>
        <v>—</v>
      </c>
      <c r="B25" s="20" t="str">
        <f>INDEX($A$52:$A$66,MATCH(LARGE($I$52:$I$66,4),$I$52:$I$66,0))</f>
        <v>Tommy Duncan</v>
      </c>
      <c r="C25" s="21" t="str">
        <f>INDEX($B$52:$B$66,MATCH(LARGE($I$52:$I$66,4),$I$52:$I$66,0))</f>
        <v>Skull it and Pray</v>
      </c>
      <c r="D25" s="12">
        <f>INDEX($C$52:$C$66,MATCH(LARGE($I$52:$I$66,4),$I$52:$I$66,0))</f>
        <v>24</v>
      </c>
      <c r="E25" s="12" t="str">
        <f>IF(INDEX($D$52:$D$66,MATCH(LARGE($I$52:$I$66,4),$I$52:$I$66,0))="","—",INDEX($D$52:$D$66,MATCH(LARGE($I$52:$I$66,4),$I$52:$I$66,0)))</f>
        <v>—</v>
      </c>
      <c r="F25" s="12" t="str">
        <f>IF(INDEX($E$52:$E$66,MATCH(LARGE($I$52:$I$66,4),$I$52:$I$66,0))="","—",INDEX($E$52:$E$66,MATCH(LARGE($I$52:$I$66,4),$I$52:$I$66,0)))</f>
        <v>—</v>
      </c>
      <c r="G25" s="12" t="str">
        <f>IF(INDEX($F$52:$F$66,MATCH(LARGE($I$52:$I$66,4),$I$52:$I$66,0))="","—",INDEX($F$52:$F$66,MATCH(LARGE($I$52:$I$66,4),$I$52:$I$66,0)))</f>
        <v>—</v>
      </c>
      <c r="H25" s="22" t="str">
        <f>IF(INDEX($J$52:$J$66,MATCH(LARGE($I$52:$I$66,4),$I$52:$I$66,0))=0,"—",INDEX($G$52:$G$66,MATCH(LARGE($I$52:$I$66,4),$I$52:$I$66,0)))</f>
        <v>—</v>
      </c>
      <c r="I25" s="12">
        <f>INDEX($H$52:$H$66,MATCH(LARGE($I$52:$I$66,4),$I$52:$I$66,0))</f>
        <v>0</v>
      </c>
      <c r="J25" s="9"/>
      <c r="K25" s="9"/>
      <c r="L25" s="9"/>
    </row>
    <row r="26" spans="1:12" x14ac:dyDescent="0.2">
      <c r="A26" s="12" t="str">
        <f>IF(SUM($J$52:$J$66)=0,"—",5)</f>
        <v>—</v>
      </c>
      <c r="B26" s="20" t="str">
        <f>INDEX($A$52:$A$66,MATCH(LARGE($I$52:$I$66,5),$I$52:$I$66,0))</f>
        <v>Jason Kimbo</v>
      </c>
      <c r="C26" s="21" t="str">
        <f>INDEX($B$52:$B$66,MATCH(LARGE($I$52:$I$66,5),$I$52:$I$66,0))</f>
        <v>Skull it and Pray</v>
      </c>
      <c r="D26" s="12">
        <f>INDEX($C$52:$C$66,MATCH(LARGE($I$52:$I$66,5),$I$52:$I$66,0))</f>
        <v>17</v>
      </c>
      <c r="E26" s="12" t="str">
        <f>IF(INDEX($D$52:$D$66,MATCH(LARGE($I$52:$I$66,5),$I$52:$I$66,0))="","—",INDEX($D$52:$D$66,MATCH(LARGE($I$52:$I$66,5),$I$52:$I$66,0)))</f>
        <v>—</v>
      </c>
      <c r="F26" s="12" t="str">
        <f>IF(INDEX($E$52:$E$66,MATCH(LARGE($I$52:$I$66,5),$I$52:$I$66,0))="","—",INDEX($E$52:$E$66,MATCH(LARGE($I$52:$I$66,5),$I$52:$I$66,0)))</f>
        <v>—</v>
      </c>
      <c r="G26" s="12" t="str">
        <f>IF(INDEX($F$52:$F$66,MATCH(LARGE($I$52:$I$66,5),$I$52:$I$66,0))="","—",INDEX($F$52:$F$66,MATCH(LARGE($I$52:$I$66,5),$I$52:$I$66,0)))</f>
        <v>—</v>
      </c>
      <c r="H26" s="22" t="str">
        <f>IF(INDEX($J$52:$J$66,MATCH(LARGE($I$52:$I$66,5),$I$52:$I$66,0))=0,"—",INDEX($G$52:$G$66,MATCH(LARGE($I$52:$I$66,5),$I$52:$I$66,0)))</f>
        <v>—</v>
      </c>
      <c r="I26" s="12">
        <f>INDEX($H$52:$H$66,MATCH(LARGE($I$52:$I$66,5),$I$52:$I$66,0))</f>
        <v>0</v>
      </c>
      <c r="J26" s="9"/>
      <c r="K26" s="9"/>
      <c r="L26" s="9"/>
    </row>
    <row r="27" spans="1:12" x14ac:dyDescent="0.2">
      <c r="A27" s="12" t="str">
        <f>IF(SUM($J$52:$J$66)=0,"—",6)</f>
        <v>—</v>
      </c>
      <c r="B27" s="20" t="str">
        <f>INDEX($A$52:$A$66,MATCH(LARGE($I$52:$I$66,6),$I$52:$I$66,0))</f>
        <v>Spencer Friend</v>
      </c>
      <c r="C27" s="21" t="str">
        <f>INDEX($B$52:$B$66,MATCH(LARGE($I$52:$I$66,6),$I$52:$I$66,0))</f>
        <v>Skull it and Pray</v>
      </c>
      <c r="D27" s="12">
        <f>INDEX($C$52:$C$66,MATCH(LARGE($I$52:$I$66,6),$I$52:$I$66,0))</f>
        <v>9</v>
      </c>
      <c r="E27" s="12" t="str">
        <f>IF(INDEX($D$52:$D$66,MATCH(LARGE($I$52:$I$66,6),$I$52:$I$66,0))="","—",INDEX($D$52:$D$66,MATCH(LARGE($I$52:$I$66,6),$I$52:$I$66,0)))</f>
        <v>—</v>
      </c>
      <c r="F27" s="12" t="str">
        <f>IF(INDEX($E$52:$E$66,MATCH(LARGE($I$52:$I$66,6),$I$52:$I$66,0))="","—",INDEX($E$52:$E$66,MATCH(LARGE($I$52:$I$66,6),$I$52:$I$66,0)))</f>
        <v>—</v>
      </c>
      <c r="G27" s="12" t="str">
        <f>IF(INDEX($F$52:$F$66,MATCH(LARGE($I$52:$I$66,6),$I$52:$I$66,0))="","—",INDEX($F$52:$F$66,MATCH(LARGE($I$52:$I$66,6),$I$52:$I$66,0)))</f>
        <v>—</v>
      </c>
      <c r="H27" s="22" t="str">
        <f>IF(INDEX($J$52:$J$66,MATCH(LARGE($I$52:$I$66,6),$I$52:$I$66,0))=0,"—",INDEX($G$52:$G$66,MATCH(LARGE($I$52:$I$66,6),$I$52:$I$66,0)))</f>
        <v>—</v>
      </c>
      <c r="I27" s="12">
        <f>INDEX($H$52:$H$66,MATCH(LARGE($I$52:$I$66,6),$I$52:$I$66,0))</f>
        <v>0</v>
      </c>
      <c r="J27" s="9"/>
      <c r="K27" s="9"/>
      <c r="L27" s="9"/>
    </row>
    <row r="28" spans="1:12" x14ac:dyDescent="0.2">
      <c r="A28" s="12" t="str">
        <f>IF(SUM($J$52:$J$66)=0,"—",7)</f>
        <v>—</v>
      </c>
      <c r="B28" s="20" t="str">
        <f>INDEX($A$52:$A$66,MATCH(LARGE($I$52:$I$66,7),$I$52:$I$66,0))</f>
        <v>Ben Young</v>
      </c>
      <c r="C28" s="21" t="str">
        <f>INDEX($B$52:$B$66,MATCH(LARGE($I$52:$I$66,7),$I$52:$I$66,0))</f>
        <v>Team 3</v>
      </c>
      <c r="D28" s="12">
        <f>INDEX($C$52:$C$66,MATCH(LARGE($I$52:$I$66,7),$I$52:$I$66,0))</f>
        <v>18</v>
      </c>
      <c r="E28" s="12" t="str">
        <f>IF(INDEX($D$52:$D$66,MATCH(LARGE($I$52:$I$66,7),$I$52:$I$66,0))="","—",INDEX($D$52:$D$66,MATCH(LARGE($I$52:$I$66,7),$I$52:$I$66,0)))</f>
        <v>—</v>
      </c>
      <c r="F28" s="12" t="str">
        <f>IF(INDEX($E$52:$E$66,MATCH(LARGE($I$52:$I$66,7),$I$52:$I$66,0))="","—",INDEX($E$52:$E$66,MATCH(LARGE($I$52:$I$66,7),$I$52:$I$66,0)))</f>
        <v>—</v>
      </c>
      <c r="G28" s="12" t="str">
        <f>IF(INDEX($F$52:$F$66,MATCH(LARGE($I$52:$I$66,7),$I$52:$I$66,0))="","—",INDEX($F$52:$F$66,MATCH(LARGE($I$52:$I$66,7),$I$52:$I$66,0)))</f>
        <v>—</v>
      </c>
      <c r="H28" s="22" t="str">
        <f>IF(INDEX($J$52:$J$66,MATCH(LARGE($I$52:$I$66,7),$I$52:$I$66,0))=0,"—",INDEX($G$52:$G$66,MATCH(LARGE($I$52:$I$66,7),$I$52:$I$66,0)))</f>
        <v>—</v>
      </c>
      <c r="I28" s="12">
        <f>INDEX($H$52:$H$66,MATCH(LARGE($I$52:$I$66,7),$I$52:$I$66,0))</f>
        <v>0</v>
      </c>
      <c r="J28" s="9"/>
      <c r="K28" s="9"/>
      <c r="L28" s="9"/>
    </row>
    <row r="29" spans="1:12" x14ac:dyDescent="0.2">
      <c r="A29" s="12" t="str">
        <f>IF(SUM($J$52:$J$66)=0,"—",8)</f>
        <v>—</v>
      </c>
      <c r="B29" s="20" t="str">
        <f>INDEX($A$52:$A$66,MATCH(LARGE($I$52:$I$66,8),$I$52:$I$66,0))</f>
        <v>Justin Conrad</v>
      </c>
      <c r="C29" s="21" t="str">
        <f>INDEX($B$52:$B$66,MATCH(LARGE($I$52:$I$66,8),$I$52:$I$66,0))</f>
        <v>Team 3</v>
      </c>
      <c r="D29" s="12">
        <f>INDEX($C$52:$C$66,MATCH(LARGE($I$52:$I$66,8),$I$52:$I$66,0))</f>
        <v>30</v>
      </c>
      <c r="E29" s="12" t="str">
        <f>IF(INDEX($D$52:$D$66,MATCH(LARGE($I$52:$I$66,8),$I$52:$I$66,0))="","—",INDEX($D$52:$D$66,MATCH(LARGE($I$52:$I$66,8),$I$52:$I$66,0)))</f>
        <v>—</v>
      </c>
      <c r="F29" s="12" t="str">
        <f>IF(INDEX($E$52:$E$66,MATCH(LARGE($I$52:$I$66,8),$I$52:$I$66,0))="","—",INDEX($E$52:$E$66,MATCH(LARGE($I$52:$I$66,8),$I$52:$I$66,0)))</f>
        <v>—</v>
      </c>
      <c r="G29" s="12" t="str">
        <f>IF(INDEX($F$52:$F$66,MATCH(LARGE($I$52:$I$66,8),$I$52:$I$66,0))="","—",INDEX($F$52:$F$66,MATCH(LARGE($I$52:$I$66,8),$I$52:$I$66,0)))</f>
        <v>—</v>
      </c>
      <c r="H29" s="22" t="str">
        <f>IF(INDEX($J$52:$J$66,MATCH(LARGE($I$52:$I$66,8),$I$52:$I$66,0))=0,"—",INDEX($G$52:$G$66,MATCH(LARGE($I$52:$I$66,8),$I$52:$I$66,0)))</f>
        <v>—</v>
      </c>
      <c r="I29" s="12">
        <f>INDEX($H$52:$H$66,MATCH(LARGE($I$52:$I$66,8),$I$52:$I$66,0))</f>
        <v>0</v>
      </c>
      <c r="J29" s="9"/>
      <c r="K29" s="9"/>
      <c r="L29" s="9"/>
    </row>
    <row r="30" spans="1:12" x14ac:dyDescent="0.2">
      <c r="A30" s="12" t="str">
        <f>IF(SUM($J$52:$J$66)=0,"—",9)</f>
        <v>—</v>
      </c>
      <c r="B30" s="20" t="str">
        <f>INDEX($A$52:$A$66,MATCH(LARGE($I$52:$I$66,9),$I$52:$I$66,0))</f>
        <v>Shawn McMaster</v>
      </c>
      <c r="C30" s="21" t="str">
        <f>INDEX($B$52:$B$66,MATCH(LARGE($I$52:$I$66,9),$I$52:$I$66,0))</f>
        <v>Team 3</v>
      </c>
      <c r="D30" s="12">
        <f>INDEX($C$52:$C$66,MATCH(LARGE($I$52:$I$66,9),$I$52:$I$66,0))</f>
        <v>19</v>
      </c>
      <c r="E30" s="12" t="str">
        <f>IF(INDEX($D$52:$D$66,MATCH(LARGE($I$52:$I$66,9),$I$52:$I$66,0))="","—",INDEX($D$52:$D$66,MATCH(LARGE($I$52:$I$66,9),$I$52:$I$66,0)))</f>
        <v>—</v>
      </c>
      <c r="F30" s="12" t="str">
        <f>IF(INDEX($E$52:$E$66,MATCH(LARGE($I$52:$I$66,9),$I$52:$I$66,0))="","—",INDEX($E$52:$E$66,MATCH(LARGE($I$52:$I$66,9),$I$52:$I$66,0)))</f>
        <v>—</v>
      </c>
      <c r="G30" s="12" t="str">
        <f>IF(INDEX($F$52:$F$66,MATCH(LARGE($I$52:$I$66,9),$I$52:$I$66,0))="","—",INDEX($F$52:$F$66,MATCH(LARGE($I$52:$I$66,9),$I$52:$I$66,0)))</f>
        <v>—</v>
      </c>
      <c r="H30" s="22" t="str">
        <f>IF(INDEX($J$52:$J$66,MATCH(LARGE($I$52:$I$66,9),$I$52:$I$66,0))=0,"—",INDEX($G$52:$G$66,MATCH(LARGE($I$52:$I$66,9),$I$52:$I$66,0)))</f>
        <v>—</v>
      </c>
      <c r="I30" s="12">
        <f>INDEX($H$52:$H$66,MATCH(LARGE($I$52:$I$66,9),$I$52:$I$66,0))</f>
        <v>0</v>
      </c>
      <c r="J30" s="9"/>
      <c r="K30" s="9"/>
      <c r="L30" s="9"/>
    </row>
    <row r="31" spans="1:12" x14ac:dyDescent="0.2">
      <c r="A31" s="12" t="str">
        <f>IF(SUM($J$52:$J$66)=0,"—",10)</f>
        <v>—</v>
      </c>
      <c r="B31" s="20" t="str">
        <f>INDEX($A$52:$A$66,MATCH(LARGE($I$52:$I$66,10),$I$52:$I$66,0))</f>
        <v>Ian Dempsey</v>
      </c>
      <c r="C31" s="21" t="str">
        <f>INDEX($B$52:$B$66,MATCH(LARGE($I$52:$I$66,10),$I$52:$I$66,0))</f>
        <v>Wydom’s Woodies</v>
      </c>
      <c r="D31" s="12">
        <f>INDEX($C$52:$C$66,MATCH(LARGE($I$52:$I$66,10),$I$52:$I$66,0))</f>
        <v>21</v>
      </c>
      <c r="E31" s="12" t="str">
        <f>IF(INDEX($D$52:$D$66,MATCH(LARGE($I$52:$I$66,10),$I$52:$I$66,0))="","—",INDEX($D$52:$D$66,MATCH(LARGE($I$52:$I$66,10),$I$52:$I$66,0)))</f>
        <v>—</v>
      </c>
      <c r="F31" s="12" t="str">
        <f>IF(INDEX($E$52:$E$66,MATCH(LARGE($I$52:$I$66,10),$I$52:$I$66,0))="","—",INDEX($E$52:$E$66,MATCH(LARGE($I$52:$I$66,10),$I$52:$I$66,0)))</f>
        <v>—</v>
      </c>
      <c r="G31" s="12" t="str">
        <f>IF(INDEX($F$52:$F$66,MATCH(LARGE($I$52:$I$66,10),$I$52:$I$66,0))="","—",INDEX($F$52:$F$66,MATCH(LARGE($I$52:$I$66,10),$I$52:$I$66,0)))</f>
        <v>—</v>
      </c>
      <c r="H31" s="22" t="str">
        <f>IF(INDEX($J$52:$J$66,MATCH(LARGE($I$52:$I$66,10),$I$52:$I$66,0))=0,"—",INDEX($G$52:$G$66,MATCH(LARGE($I$52:$I$66,10),$I$52:$I$66,0)))</f>
        <v>—</v>
      </c>
      <c r="I31" s="12">
        <f>INDEX($H$52:$H$66,MATCH(LARGE($I$52:$I$66,10),$I$52:$I$66,0))</f>
        <v>0</v>
      </c>
      <c r="J31" s="9"/>
      <c r="K31" s="9"/>
      <c r="L31" s="9"/>
    </row>
    <row r="32" spans="1:12" x14ac:dyDescent="0.2">
      <c r="A32" s="12" t="str">
        <f>IF(SUM($J$52:$J$66)=0,"—",11)</f>
        <v>—</v>
      </c>
      <c r="B32" s="20" t="str">
        <f>INDEX($A$52:$A$66,MATCH(LARGE($I$52:$I$66,11),$I$52:$I$66,0))</f>
        <v>Nick Roy</v>
      </c>
      <c r="C32" s="21" t="str">
        <f>INDEX($B$52:$B$66,MATCH(LARGE($I$52:$I$66,11),$I$52:$I$66,0))</f>
        <v>Wydom’s Woodies</v>
      </c>
      <c r="D32" s="12">
        <f>INDEX($C$52:$C$66,MATCH(LARGE($I$52:$I$66,11),$I$52:$I$66,0))</f>
        <v>21</v>
      </c>
      <c r="E32" s="12" t="str">
        <f>IF(INDEX($D$52:$D$66,MATCH(LARGE($I$52:$I$66,11),$I$52:$I$66,0))="","—",INDEX($D$52:$D$66,MATCH(LARGE($I$52:$I$66,11),$I$52:$I$66,0)))</f>
        <v>—</v>
      </c>
      <c r="F32" s="12" t="str">
        <f>IF(INDEX($E$52:$E$66,MATCH(LARGE($I$52:$I$66,11),$I$52:$I$66,0))="","—",INDEX($E$52:$E$66,MATCH(LARGE($I$52:$I$66,11),$I$52:$I$66,0)))</f>
        <v>—</v>
      </c>
      <c r="G32" s="12" t="str">
        <f>IF(INDEX($F$52:$F$66,MATCH(LARGE($I$52:$I$66,11),$I$52:$I$66,0))="","—",INDEX($F$52:$F$66,MATCH(LARGE($I$52:$I$66,11),$I$52:$I$66,0)))</f>
        <v>—</v>
      </c>
      <c r="H32" s="22" t="str">
        <f>IF(INDEX($J$52:$J$66,MATCH(LARGE($I$52:$I$66,11),$I$52:$I$66,0))=0,"—",INDEX($G$52:$G$66,MATCH(LARGE($I$52:$I$66,11),$I$52:$I$66,0)))</f>
        <v>—</v>
      </c>
      <c r="I32" s="12">
        <f>INDEX($H$52:$H$66,MATCH(LARGE($I$52:$I$66,11),$I$52:$I$66,0))</f>
        <v>0</v>
      </c>
      <c r="J32" s="9"/>
      <c r="K32" s="9"/>
      <c r="L32" s="9"/>
    </row>
    <row r="33" spans="1:12" x14ac:dyDescent="0.2">
      <c r="A33" s="12" t="str">
        <f>IF(SUM($J$52:$J$66)=0,"—",12)</f>
        <v>—</v>
      </c>
      <c r="B33" s="20" t="str">
        <f>INDEX($A$52:$A$66,MATCH(LARGE($I$52:$I$66,12),$I$52:$I$66,0))</f>
        <v>Henry Holst</v>
      </c>
      <c r="C33" s="21" t="str">
        <f>INDEX($B$52:$B$66,MATCH(LARGE($I$52:$I$66,12),$I$52:$I$66,0))</f>
        <v>Wydom’s Woodies</v>
      </c>
      <c r="D33" s="12">
        <f>INDEX($C$52:$C$66,MATCH(LARGE($I$52:$I$66,12),$I$52:$I$66,0))</f>
        <v>19</v>
      </c>
      <c r="E33" s="12" t="str">
        <f>IF(INDEX($D$52:$D$66,MATCH(LARGE($I$52:$I$66,12),$I$52:$I$66,0))="","—",INDEX($D$52:$D$66,MATCH(LARGE($I$52:$I$66,12),$I$52:$I$66,0)))</f>
        <v>—</v>
      </c>
      <c r="F33" s="12" t="str">
        <f>IF(INDEX($E$52:$E$66,MATCH(LARGE($I$52:$I$66,12),$I$52:$I$66,0))="","—",INDEX($E$52:$E$66,MATCH(LARGE($I$52:$I$66,12),$I$52:$I$66,0)))</f>
        <v>—</v>
      </c>
      <c r="G33" s="12" t="str">
        <f>IF(INDEX($F$52:$F$66,MATCH(LARGE($I$52:$I$66,12),$I$52:$I$66,0))="","—",INDEX($F$52:$F$66,MATCH(LARGE($I$52:$I$66,12),$I$52:$I$66,0)))</f>
        <v>—</v>
      </c>
      <c r="H33" s="22" t="str">
        <f>IF(INDEX($J$52:$J$66,MATCH(LARGE($I$52:$I$66,12),$I$52:$I$66,0))=0,"—",INDEX($G$52:$G$66,MATCH(LARGE($I$52:$I$66,12),$I$52:$I$66,0)))</f>
        <v>—</v>
      </c>
      <c r="I33" s="12">
        <f>INDEX($H$52:$H$66,MATCH(LARGE($I$52:$I$66,12),$I$52:$I$66,0))</f>
        <v>0</v>
      </c>
      <c r="J33" s="9"/>
      <c r="K33" s="9"/>
      <c r="L33" s="9"/>
    </row>
    <row r="34" spans="1:12" x14ac:dyDescent="0.2">
      <c r="A34" s="12" t="str">
        <f>IF(SUM($J$52:$J$66)=0,"—",13)</f>
        <v>—</v>
      </c>
      <c r="B34" s="20" t="str">
        <f>INDEX($A$52:$A$66,MATCH(LARGE($I$52:$I$66,13),$I$52:$I$66,0))</f>
        <v>Chad Stone</v>
      </c>
      <c r="C34" s="21" t="str">
        <f>INDEX($B$52:$B$66,MATCH(LARGE($I$52:$I$66,13),$I$52:$I$66,0))</f>
        <v>Putting Balls in the Hole</v>
      </c>
      <c r="D34" s="12">
        <f>INDEX($C$52:$C$66,MATCH(LARGE($I$52:$I$66,13),$I$52:$I$66,0))</f>
        <v>23</v>
      </c>
      <c r="E34" s="12" t="str">
        <f>IF(INDEX($D$52:$D$66,MATCH(LARGE($I$52:$I$66,13),$I$52:$I$66,0))="","—",INDEX($D$52:$D$66,MATCH(LARGE($I$52:$I$66,13),$I$52:$I$66,0)))</f>
        <v>—</v>
      </c>
      <c r="F34" s="12" t="str">
        <f>IF(INDEX($E$52:$E$66,MATCH(LARGE($I$52:$I$66,13),$I$52:$I$66,0))="","—",INDEX($E$52:$E$66,MATCH(LARGE($I$52:$I$66,13),$I$52:$I$66,0)))</f>
        <v>—</v>
      </c>
      <c r="G34" s="12" t="str">
        <f>IF(INDEX($F$52:$F$66,MATCH(LARGE($I$52:$I$66,13),$I$52:$I$66,0))="","—",INDEX($F$52:$F$66,MATCH(LARGE($I$52:$I$66,13),$I$52:$I$66,0)))</f>
        <v>—</v>
      </c>
      <c r="H34" s="22" t="str">
        <f>IF(INDEX($J$52:$J$66,MATCH(LARGE($I$52:$I$66,13),$I$52:$I$66,0))=0,"—",INDEX($G$52:$G$66,MATCH(LARGE($I$52:$I$66,13),$I$52:$I$66,0)))</f>
        <v>—</v>
      </c>
      <c r="I34" s="12">
        <f>INDEX($H$52:$H$66,MATCH(LARGE($I$52:$I$66,13),$I$52:$I$66,0))</f>
        <v>0</v>
      </c>
      <c r="J34" s="9"/>
      <c r="K34" s="9"/>
      <c r="L34" s="9"/>
    </row>
    <row r="35" spans="1:12" x14ac:dyDescent="0.2">
      <c r="A35" s="12" t="str">
        <f>IF(SUM($J$52:$J$66)=0,"—",14)</f>
        <v>—</v>
      </c>
      <c r="B35" s="20" t="str">
        <f>INDEX($A$52:$A$66,MATCH(LARGE($I$52:$I$66,14),$I$52:$I$66,0))</f>
        <v>Tom Devine</v>
      </c>
      <c r="C35" s="21" t="str">
        <f>INDEX($B$52:$B$66,MATCH(LARGE($I$52:$I$66,14),$I$52:$I$66,0))</f>
        <v>Putting Balls in the Hole</v>
      </c>
      <c r="D35" s="12">
        <f>INDEX($C$52:$C$66,MATCH(LARGE($I$52:$I$66,14),$I$52:$I$66,0))</f>
        <v>17</v>
      </c>
      <c r="E35" s="12" t="str">
        <f>IF(INDEX($D$52:$D$66,MATCH(LARGE($I$52:$I$66,14),$I$52:$I$66,0))="","—",INDEX($D$52:$D$66,MATCH(LARGE($I$52:$I$66,14),$I$52:$I$66,0)))</f>
        <v>—</v>
      </c>
      <c r="F35" s="12" t="str">
        <f>IF(INDEX($E$52:$E$66,MATCH(LARGE($I$52:$I$66,14),$I$52:$I$66,0))="","—",INDEX($E$52:$E$66,MATCH(LARGE($I$52:$I$66,14),$I$52:$I$66,0)))</f>
        <v>—</v>
      </c>
      <c r="G35" s="12" t="str">
        <f>IF(INDEX($F$52:$F$66,MATCH(LARGE($I$52:$I$66,14),$I$52:$I$66,0))="","—",INDEX($F$52:$F$66,MATCH(LARGE($I$52:$I$66,14),$I$52:$I$66,0)))</f>
        <v>—</v>
      </c>
      <c r="H35" s="22" t="str">
        <f>IF(INDEX($J$52:$J$66,MATCH(LARGE($I$52:$I$66,14),$I$52:$I$66,0))=0,"—",INDEX($G$52:$G$66,MATCH(LARGE($I$52:$I$66,14),$I$52:$I$66,0)))</f>
        <v>—</v>
      </c>
      <c r="I35" s="12">
        <f>INDEX($H$52:$H$66,MATCH(LARGE($I$52:$I$66,14),$I$52:$I$66,0))</f>
        <v>0</v>
      </c>
      <c r="J35" s="9"/>
      <c r="K35" s="9"/>
      <c r="L35" s="9"/>
    </row>
    <row r="36" spans="1:12" x14ac:dyDescent="0.2">
      <c r="A36" s="12" t="str">
        <f>IF(SUM($J$52:$J$66)=0,"—",15)</f>
        <v>—</v>
      </c>
      <c r="B36" s="20" t="str">
        <f>INDEX($A$52:$A$66,MATCH(LARGE($I$52:$I$66,15),$I$52:$I$66,0))</f>
        <v>Mike Warenda</v>
      </c>
      <c r="C36" s="21" t="str">
        <f>INDEX($B$52:$B$66,MATCH(LARGE($I$52:$I$66,15),$I$52:$I$66,0))</f>
        <v>Putting Balls in the Hole</v>
      </c>
      <c r="D36" s="12">
        <f>INDEX($C$52:$C$66,MATCH(LARGE($I$52:$I$66,15),$I$52:$I$66,0))</f>
        <v>21</v>
      </c>
      <c r="E36" s="12" t="str">
        <f>IF(INDEX($D$52:$D$66,MATCH(LARGE($I$52:$I$66,15),$I$52:$I$66,0))="","—",INDEX($D$52:$D$66,MATCH(LARGE($I$52:$I$66,15),$I$52:$I$66,0)))</f>
        <v>—</v>
      </c>
      <c r="F36" s="12" t="str">
        <f>IF(INDEX($E$52:$E$66,MATCH(LARGE($I$52:$I$66,15),$I$52:$I$66,0))="","—",INDEX($E$52:$E$66,MATCH(LARGE($I$52:$I$66,15),$I$52:$I$66,0)))</f>
        <v>—</v>
      </c>
      <c r="G36" s="12" t="str">
        <f>IF(INDEX($F$52:$F$66,MATCH(LARGE($I$52:$I$66,15),$I$52:$I$66,0))="","—",INDEX($F$52:$F$66,MATCH(LARGE($I$52:$I$66,15),$I$52:$I$66,0)))</f>
        <v>—</v>
      </c>
      <c r="H36" s="22" t="str">
        <f>IF(INDEX($J$52:$J$66,MATCH(LARGE($I$52:$I$66,15),$I$52:$I$66,0))=0,"—",INDEX($G$52:$G$66,MATCH(LARGE($I$52:$I$66,15),$I$52:$I$66,0)))</f>
        <v>—</v>
      </c>
      <c r="I36" s="12">
        <f>INDEX($H$52:$H$66,MATCH(LARGE($I$52:$I$66,15),$I$52:$I$66,0))</f>
        <v>0</v>
      </c>
      <c r="J36" s="9"/>
      <c r="K36" s="9"/>
      <c r="L36" s="9"/>
    </row>
    <row r="37" spans="1:12" x14ac:dyDescent="0.2">
      <c r="A37" s="19" t="s">
        <v>21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">
      <c r="A39" s="23" t="s">
        <v>22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">
      <c r="A41" s="23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">
      <c r="A42" s="24" t="s">
        <v>11</v>
      </c>
      <c r="B42" s="24" t="s">
        <v>12</v>
      </c>
      <c r="C42" s="24" t="s">
        <v>13</v>
      </c>
      <c r="D42" s="24" t="s">
        <v>14</v>
      </c>
      <c r="E42" s="24" t="s">
        <v>15</v>
      </c>
      <c r="F42" s="24" t="s">
        <v>24</v>
      </c>
      <c r="G42" s="24" t="s">
        <v>25</v>
      </c>
      <c r="H42" s="9"/>
      <c r="I42" s="9"/>
      <c r="J42" s="9"/>
      <c r="K42" s="9"/>
      <c r="L42" s="9"/>
    </row>
    <row r="43" spans="1:12" x14ac:dyDescent="0.2">
      <c r="A43" s="25" t="str">
        <f>Players!$F$5</f>
        <v>Team 2</v>
      </c>
      <c r="B43" s="25" t="str">
        <f ca="1">'R1 Watson'!Z83</f>
        <v/>
      </c>
      <c r="C43" s="25" t="str">
        <f ca="1">'R2 Palmer'!Z83</f>
        <v/>
      </c>
      <c r="D43" s="25" t="str">
        <f>IF(COUNTIFS('R3 Nicklaus'!$B$8:$B$22,A43,'R3 Nicklaus'!$AE$8:$AE$22,"&gt;=0")=0,"",SUMIF('R3 Nicklaus'!$B$8:$B$22,A43,'R3 Nicklaus'!$AE$8:$AE$22))</f>
        <v/>
      </c>
      <c r="E43" s="25">
        <f ca="1">SUM(B43:D43)</f>
        <v>0</v>
      </c>
      <c r="F43" s="25">
        <f ca="1">E43+(10-0)/1000</f>
        <v>0.01</v>
      </c>
      <c r="G43" s="25" t="b">
        <f ca="1">COUNT(B43:D43)&gt;0</f>
        <v>0</v>
      </c>
      <c r="H43" s="9"/>
      <c r="I43" s="9"/>
      <c r="J43" s="9"/>
      <c r="K43" s="9"/>
      <c r="L43" s="9"/>
    </row>
    <row r="44" spans="1:12" x14ac:dyDescent="0.2">
      <c r="A44" s="25" t="str">
        <f>Players!$F$6</f>
        <v>Skull it and Pray</v>
      </c>
      <c r="B44" s="25" t="str">
        <f ca="1">'R1 Watson'!Z84</f>
        <v/>
      </c>
      <c r="C44" s="25" t="str">
        <f ca="1">'R2 Palmer'!Z84</f>
        <v/>
      </c>
      <c r="D44" s="25" t="str">
        <f>IF(COUNTIFS('R3 Nicklaus'!$B$8:$B$22,A44,'R3 Nicklaus'!$AE$8:$AE$22,"&gt;=0")=0,"",SUMIF('R3 Nicklaus'!$B$8:$B$22,A44,'R3 Nicklaus'!$AE$8:$AE$22))</f>
        <v/>
      </c>
      <c r="E44" s="25">
        <f ca="1">SUM(B44:D44)</f>
        <v>0</v>
      </c>
      <c r="F44" s="25">
        <f ca="1">E44+(10-1)/1000</f>
        <v>8.9999999999999993E-3</v>
      </c>
      <c r="G44" s="25" t="b">
        <f ca="1">COUNT(B44:D44)&gt;0</f>
        <v>0</v>
      </c>
      <c r="H44" s="9"/>
      <c r="I44" s="9"/>
      <c r="J44" s="9"/>
      <c r="K44" s="9"/>
      <c r="L44" s="9"/>
    </row>
    <row r="45" spans="1:12" x14ac:dyDescent="0.2">
      <c r="A45" s="25" t="str">
        <f>Players!$F$7</f>
        <v>Team 3</v>
      </c>
      <c r="B45" s="25" t="str">
        <f ca="1">'R1 Watson'!Z85</f>
        <v/>
      </c>
      <c r="C45" s="25" t="str">
        <f ca="1">'R2 Palmer'!Z85</f>
        <v/>
      </c>
      <c r="D45" s="25" t="str">
        <f>IF(COUNTIFS('R3 Nicklaus'!$B$8:$B$22,A45,'R3 Nicklaus'!$AE$8:$AE$22,"&gt;=0")=0,"",SUMIF('R3 Nicklaus'!$B$8:$B$22,A45,'R3 Nicklaus'!$AE$8:$AE$22))</f>
        <v/>
      </c>
      <c r="E45" s="25">
        <f ca="1">SUM(B45:D45)</f>
        <v>0</v>
      </c>
      <c r="F45" s="25">
        <f ca="1">E45+(10-2)/1000</f>
        <v>8.0000000000000002E-3</v>
      </c>
      <c r="G45" s="25" t="b">
        <f ca="1">COUNT(B45:D45)&gt;0</f>
        <v>0</v>
      </c>
      <c r="H45" s="9"/>
      <c r="I45" s="9"/>
      <c r="J45" s="9"/>
      <c r="K45" s="9"/>
      <c r="L45" s="9"/>
    </row>
    <row r="46" spans="1:12" x14ac:dyDescent="0.2">
      <c r="A46" s="25" t="str">
        <f>Players!$F$8</f>
        <v>Wydom’s Woodies</v>
      </c>
      <c r="B46" s="25" t="str">
        <f ca="1">'R1 Watson'!Z86</f>
        <v/>
      </c>
      <c r="C46" s="25" t="str">
        <f ca="1">'R2 Palmer'!Z86</f>
        <v/>
      </c>
      <c r="D46" s="25" t="str">
        <f>IF(COUNTIFS('R3 Nicklaus'!$B$8:$B$22,A46,'R3 Nicklaus'!$AE$8:$AE$22,"&gt;=0")=0,"",SUMIF('R3 Nicklaus'!$B$8:$B$22,A46,'R3 Nicklaus'!$AE$8:$AE$22))</f>
        <v/>
      </c>
      <c r="E46" s="25">
        <f ca="1">SUM(B46:D46)</f>
        <v>0</v>
      </c>
      <c r="F46" s="25">
        <f ca="1">E46+(10-3)/1000</f>
        <v>7.0000000000000001E-3</v>
      </c>
      <c r="G46" s="25" t="b">
        <f ca="1">COUNT(B46:D46)&gt;0</f>
        <v>0</v>
      </c>
      <c r="H46" s="9"/>
      <c r="I46" s="9"/>
      <c r="J46" s="9"/>
      <c r="K46" s="9"/>
      <c r="L46" s="9"/>
    </row>
    <row r="47" spans="1:12" x14ac:dyDescent="0.2">
      <c r="A47" s="25" t="str">
        <f>Players!$F$9</f>
        <v>Putting Balls in the Hole</v>
      </c>
      <c r="B47" s="25" t="str">
        <f ca="1">'R1 Watson'!Z87</f>
        <v/>
      </c>
      <c r="C47" s="25" t="str">
        <f ca="1">'R2 Palmer'!Z87</f>
        <v/>
      </c>
      <c r="D47" s="25" t="str">
        <f>IF(COUNTIFS('R3 Nicklaus'!$B$8:$B$22,A47,'R3 Nicklaus'!$AE$8:$AE$22,"&gt;=0")=0,"",SUMIF('R3 Nicklaus'!$B$8:$B$22,A47,'R3 Nicklaus'!$AE$8:$AE$22))</f>
        <v/>
      </c>
      <c r="E47" s="25">
        <f ca="1">SUM(B47:D47)</f>
        <v>0</v>
      </c>
      <c r="F47" s="25">
        <f ca="1">E47+(10-4)/1000</f>
        <v>6.0000000000000001E-3</v>
      </c>
      <c r="G47" s="25" t="b">
        <f ca="1">COUNT(B47:D47)&gt;0</f>
        <v>0</v>
      </c>
      <c r="H47" s="9"/>
      <c r="I47" s="9"/>
      <c r="J47" s="9"/>
      <c r="K47" s="9"/>
      <c r="L47" s="9"/>
    </row>
    <row r="48" spans="1:12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">
      <c r="A50" s="23" t="s">
        <v>26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">
      <c r="A51" s="24" t="s">
        <v>18</v>
      </c>
      <c r="B51" s="24" t="s">
        <v>11</v>
      </c>
      <c r="C51" s="24" t="s">
        <v>19</v>
      </c>
      <c r="D51" s="24" t="s">
        <v>12</v>
      </c>
      <c r="E51" s="24" t="s">
        <v>13</v>
      </c>
      <c r="F51" s="24" t="s">
        <v>14</v>
      </c>
      <c r="G51" s="24" t="s">
        <v>15</v>
      </c>
      <c r="H51" s="24" t="s">
        <v>20</v>
      </c>
      <c r="I51" s="24" t="s">
        <v>24</v>
      </c>
      <c r="J51" s="24" t="s">
        <v>27</v>
      </c>
      <c r="K51" s="9"/>
      <c r="L51" s="9"/>
    </row>
    <row r="52" spans="1:12" x14ac:dyDescent="0.2">
      <c r="A52" s="25" t="str">
        <f>Players!$A$5</f>
        <v>Frank Barta</v>
      </c>
      <c r="B52" s="25" t="str">
        <f>Players!$B$5</f>
        <v>Team 2</v>
      </c>
      <c r="C52" s="25">
        <f>Players!$C$5</f>
        <v>8</v>
      </c>
      <c r="D52" s="25" t="str">
        <f>'R1 Watson'!AB8</f>
        <v/>
      </c>
      <c r="E52" s="25" t="str">
        <f>'R2 Palmer'!AB8</f>
        <v/>
      </c>
      <c r="F52" s="25" t="str">
        <f>'R3 Nicklaus'!AB8</f>
        <v/>
      </c>
      <c r="G52" s="25">
        <f t="shared" ref="G52:G66" si="0">SUM(D52:F52)</f>
        <v>0</v>
      </c>
      <c r="H52" s="25">
        <f>'R1 Watson'!AC8+'R2 Palmer'!AC8+'R3 Nicklaus'!AC8</f>
        <v>0</v>
      </c>
      <c r="I52" s="25">
        <f>G52*100+H52+(20-0)/1000</f>
        <v>0.02</v>
      </c>
      <c r="J52" s="25">
        <f t="shared" ref="J52:J66" si="1">COUNT(D52:F52)</f>
        <v>0</v>
      </c>
      <c r="K52" s="9"/>
      <c r="L52" s="9"/>
    </row>
    <row r="53" spans="1:12" x14ac:dyDescent="0.2">
      <c r="A53" s="25" t="str">
        <f>Players!$A$6</f>
        <v>Marc Wydom</v>
      </c>
      <c r="B53" s="25" t="str">
        <f>Players!$B$6</f>
        <v>Team 2</v>
      </c>
      <c r="C53" s="25">
        <f>Players!$C$6</f>
        <v>16</v>
      </c>
      <c r="D53" s="25" t="str">
        <f>'R1 Watson'!AB9</f>
        <v/>
      </c>
      <c r="E53" s="25" t="str">
        <f>'R2 Palmer'!AB9</f>
        <v/>
      </c>
      <c r="F53" s="25" t="str">
        <f>'R3 Nicklaus'!AB9</f>
        <v/>
      </c>
      <c r="G53" s="25">
        <f t="shared" si="0"/>
        <v>0</v>
      </c>
      <c r="H53" s="25">
        <f>'R1 Watson'!AC9+'R2 Palmer'!AC9+'R3 Nicklaus'!AC9</f>
        <v>0</v>
      </c>
      <c r="I53" s="25">
        <f>G53*100+H53+(20-1)/1000</f>
        <v>1.9E-2</v>
      </c>
      <c r="J53" s="25">
        <f t="shared" si="1"/>
        <v>0</v>
      </c>
      <c r="K53" s="9"/>
      <c r="L53" s="9"/>
    </row>
    <row r="54" spans="1:12" x14ac:dyDescent="0.2">
      <c r="A54" s="25" t="str">
        <f>Players!$A$7</f>
        <v>Donnie Muller</v>
      </c>
      <c r="B54" s="25" t="str">
        <f>Players!$B$7</f>
        <v>Team 2</v>
      </c>
      <c r="C54" s="25">
        <f>Players!$C$7</f>
        <v>19</v>
      </c>
      <c r="D54" s="25" t="str">
        <f>'R1 Watson'!AB10</f>
        <v/>
      </c>
      <c r="E54" s="25" t="str">
        <f>'R2 Palmer'!AB10</f>
        <v/>
      </c>
      <c r="F54" s="25" t="str">
        <f>'R3 Nicklaus'!AB10</f>
        <v/>
      </c>
      <c r="G54" s="25">
        <f t="shared" si="0"/>
        <v>0</v>
      </c>
      <c r="H54" s="25">
        <f>'R1 Watson'!AC10+'R2 Palmer'!AC10+'R3 Nicklaus'!AC10</f>
        <v>0</v>
      </c>
      <c r="I54" s="25">
        <f>G54*100+H54+(20-2)/1000</f>
        <v>1.7999999999999999E-2</v>
      </c>
      <c r="J54" s="25">
        <f t="shared" si="1"/>
        <v>0</v>
      </c>
      <c r="K54" s="9"/>
      <c r="L54" s="9"/>
    </row>
    <row r="55" spans="1:12" x14ac:dyDescent="0.2">
      <c r="A55" s="25" t="str">
        <f>Players!$A$8</f>
        <v>Tommy Duncan</v>
      </c>
      <c r="B55" s="25" t="str">
        <f>Players!$B$8</f>
        <v>Skull it and Pray</v>
      </c>
      <c r="C55" s="25">
        <f>Players!$C$8</f>
        <v>24</v>
      </c>
      <c r="D55" s="25" t="str">
        <f>'R1 Watson'!AB11</f>
        <v/>
      </c>
      <c r="E55" s="25" t="str">
        <f>'R2 Palmer'!AB11</f>
        <v/>
      </c>
      <c r="F55" s="25" t="str">
        <f>'R3 Nicklaus'!AB11</f>
        <v/>
      </c>
      <c r="G55" s="25">
        <f t="shared" si="0"/>
        <v>0</v>
      </c>
      <c r="H55" s="25">
        <f>'R1 Watson'!AC11+'R2 Palmer'!AC11+'R3 Nicklaus'!AC11</f>
        <v>0</v>
      </c>
      <c r="I55" s="25">
        <f>G55*100+H55+(20-3)/1000</f>
        <v>1.7000000000000001E-2</v>
      </c>
      <c r="J55" s="25">
        <f t="shared" si="1"/>
        <v>0</v>
      </c>
      <c r="K55" s="9"/>
      <c r="L55" s="9"/>
    </row>
    <row r="56" spans="1:12" x14ac:dyDescent="0.2">
      <c r="A56" s="25" t="str">
        <f>Players!$A$9</f>
        <v>Jason Kimbo</v>
      </c>
      <c r="B56" s="25" t="str">
        <f>Players!$B$9</f>
        <v>Skull it and Pray</v>
      </c>
      <c r="C56" s="25">
        <f>Players!$C$9</f>
        <v>17</v>
      </c>
      <c r="D56" s="25" t="str">
        <f>'R1 Watson'!AB12</f>
        <v/>
      </c>
      <c r="E56" s="25" t="str">
        <f>'R2 Palmer'!AB12</f>
        <v/>
      </c>
      <c r="F56" s="25" t="str">
        <f>'R3 Nicklaus'!AB12</f>
        <v/>
      </c>
      <c r="G56" s="25">
        <f t="shared" si="0"/>
        <v>0</v>
      </c>
      <c r="H56" s="25">
        <f>'R1 Watson'!AC12+'R2 Palmer'!AC12+'R3 Nicklaus'!AC12</f>
        <v>0</v>
      </c>
      <c r="I56" s="25">
        <f>G56*100+H56+(20-4)/1000</f>
        <v>1.6E-2</v>
      </c>
      <c r="J56" s="25">
        <f t="shared" si="1"/>
        <v>0</v>
      </c>
      <c r="K56" s="9"/>
      <c r="L56" s="9"/>
    </row>
    <row r="57" spans="1:12" x14ac:dyDescent="0.2">
      <c r="A57" s="25" t="str">
        <f>Players!$A$10</f>
        <v>Spencer Friend</v>
      </c>
      <c r="B57" s="25" t="str">
        <f>Players!$B$10</f>
        <v>Skull it and Pray</v>
      </c>
      <c r="C57" s="25">
        <f>Players!$C$10</f>
        <v>9</v>
      </c>
      <c r="D57" s="25" t="str">
        <f>'R1 Watson'!AB13</f>
        <v/>
      </c>
      <c r="E57" s="25" t="str">
        <f>'R2 Palmer'!AB13</f>
        <v/>
      </c>
      <c r="F57" s="25" t="str">
        <f>'R3 Nicklaus'!AB13</f>
        <v/>
      </c>
      <c r="G57" s="25">
        <f t="shared" si="0"/>
        <v>0</v>
      </c>
      <c r="H57" s="25">
        <f>'R1 Watson'!AC13+'R2 Palmer'!AC13+'R3 Nicklaus'!AC13</f>
        <v>0</v>
      </c>
      <c r="I57" s="25">
        <f>G57*100+H57+(20-5)/1000</f>
        <v>1.4999999999999999E-2</v>
      </c>
      <c r="J57" s="25">
        <f t="shared" si="1"/>
        <v>0</v>
      </c>
      <c r="K57" s="9"/>
      <c r="L57" s="9"/>
    </row>
    <row r="58" spans="1:12" x14ac:dyDescent="0.2">
      <c r="A58" s="25" t="str">
        <f>Players!$A$11</f>
        <v>Ben Young</v>
      </c>
      <c r="B58" s="25" t="str">
        <f>Players!$B$11</f>
        <v>Team 3</v>
      </c>
      <c r="C58" s="25">
        <f>Players!$C$11</f>
        <v>18</v>
      </c>
      <c r="D58" s="25" t="str">
        <f>'R1 Watson'!AB14</f>
        <v/>
      </c>
      <c r="E58" s="25" t="str">
        <f>'R2 Palmer'!AB14</f>
        <v/>
      </c>
      <c r="F58" s="25" t="str">
        <f>'R3 Nicklaus'!AB14</f>
        <v/>
      </c>
      <c r="G58" s="25">
        <f t="shared" si="0"/>
        <v>0</v>
      </c>
      <c r="H58" s="25">
        <f>'R1 Watson'!AC14+'R2 Palmer'!AC14+'R3 Nicklaus'!AC14</f>
        <v>0</v>
      </c>
      <c r="I58" s="25">
        <f>G58*100+H58+(20-6)/1000</f>
        <v>1.4E-2</v>
      </c>
      <c r="J58" s="25">
        <f t="shared" si="1"/>
        <v>0</v>
      </c>
      <c r="K58" s="9"/>
      <c r="L58" s="9"/>
    </row>
    <row r="59" spans="1:12" x14ac:dyDescent="0.2">
      <c r="A59" s="25" t="str">
        <f>Players!$A$12</f>
        <v>Justin Conrad</v>
      </c>
      <c r="B59" s="25" t="str">
        <f>Players!$B$12</f>
        <v>Team 3</v>
      </c>
      <c r="C59" s="25">
        <f>Players!$C$12</f>
        <v>30</v>
      </c>
      <c r="D59" s="25" t="str">
        <f>'R1 Watson'!AB15</f>
        <v/>
      </c>
      <c r="E59" s="25" t="str">
        <f>'R2 Palmer'!AB15</f>
        <v/>
      </c>
      <c r="F59" s="25" t="str">
        <f>'R3 Nicklaus'!AB15</f>
        <v/>
      </c>
      <c r="G59" s="25">
        <f t="shared" si="0"/>
        <v>0</v>
      </c>
      <c r="H59" s="25">
        <f>'R1 Watson'!AC15+'R2 Palmer'!AC15+'R3 Nicklaus'!AC15</f>
        <v>0</v>
      </c>
      <c r="I59" s="25">
        <f>G59*100+H59+(20-7)/1000</f>
        <v>1.2999999999999999E-2</v>
      </c>
      <c r="J59" s="25">
        <f t="shared" si="1"/>
        <v>0</v>
      </c>
      <c r="K59" s="9"/>
      <c r="L59" s="9"/>
    </row>
    <row r="60" spans="1:12" x14ac:dyDescent="0.2">
      <c r="A60" s="25" t="str">
        <f>Players!$A$13</f>
        <v>Shawn McMaster</v>
      </c>
      <c r="B60" s="25" t="str">
        <f>Players!$B$13</f>
        <v>Team 3</v>
      </c>
      <c r="C60" s="25">
        <f>Players!$C$13</f>
        <v>19</v>
      </c>
      <c r="D60" s="25" t="str">
        <f>'R1 Watson'!AB16</f>
        <v/>
      </c>
      <c r="E60" s="25" t="str">
        <f>'R2 Palmer'!AB16</f>
        <v/>
      </c>
      <c r="F60" s="25" t="str">
        <f>'R3 Nicklaus'!AB16</f>
        <v/>
      </c>
      <c r="G60" s="25">
        <f t="shared" si="0"/>
        <v>0</v>
      </c>
      <c r="H60" s="25">
        <f>'R1 Watson'!AC16+'R2 Palmer'!AC16+'R3 Nicklaus'!AC16</f>
        <v>0</v>
      </c>
      <c r="I60" s="25">
        <f>G60*100+H60+(20-8)/1000</f>
        <v>1.2E-2</v>
      </c>
      <c r="J60" s="25">
        <f t="shared" si="1"/>
        <v>0</v>
      </c>
      <c r="K60" s="9"/>
      <c r="L60" s="9"/>
    </row>
    <row r="61" spans="1:12" x14ac:dyDescent="0.2">
      <c r="A61" s="25" t="str">
        <f>Players!$A$14</f>
        <v>Ian Dempsey</v>
      </c>
      <c r="B61" s="25" t="str">
        <f>Players!$B$14</f>
        <v>Wydom’s Woodies</v>
      </c>
      <c r="C61" s="25">
        <f>Players!$C$14</f>
        <v>21</v>
      </c>
      <c r="D61" s="25" t="str">
        <f>'R1 Watson'!AB17</f>
        <v/>
      </c>
      <c r="E61" s="25" t="str">
        <f>'R2 Palmer'!AB17</f>
        <v/>
      </c>
      <c r="F61" s="25" t="str">
        <f>'R3 Nicklaus'!AB17</f>
        <v/>
      </c>
      <c r="G61" s="25">
        <f t="shared" si="0"/>
        <v>0</v>
      </c>
      <c r="H61" s="25">
        <f>'R1 Watson'!AC17+'R2 Palmer'!AC17+'R3 Nicklaus'!AC17</f>
        <v>0</v>
      </c>
      <c r="I61" s="25">
        <f>G61*100+H61+(20-9)/1000</f>
        <v>1.0999999999999999E-2</v>
      </c>
      <c r="J61" s="25">
        <f t="shared" si="1"/>
        <v>0</v>
      </c>
      <c r="K61" s="9"/>
      <c r="L61" s="9"/>
    </row>
    <row r="62" spans="1:12" x14ac:dyDescent="0.2">
      <c r="A62" s="25" t="str">
        <f>Players!$A$15</f>
        <v>Nick Roy</v>
      </c>
      <c r="B62" s="25" t="str">
        <f>Players!$B$15</f>
        <v>Wydom’s Woodies</v>
      </c>
      <c r="C62" s="25">
        <f>Players!$C$15</f>
        <v>21</v>
      </c>
      <c r="D62" s="25" t="str">
        <f>'R1 Watson'!AB18</f>
        <v/>
      </c>
      <c r="E62" s="25" t="str">
        <f>'R2 Palmer'!AB18</f>
        <v/>
      </c>
      <c r="F62" s="25" t="str">
        <f>'R3 Nicklaus'!AB18</f>
        <v/>
      </c>
      <c r="G62" s="25">
        <f t="shared" si="0"/>
        <v>0</v>
      </c>
      <c r="H62" s="25">
        <f>'R1 Watson'!AC18+'R2 Palmer'!AC18+'R3 Nicklaus'!AC18</f>
        <v>0</v>
      </c>
      <c r="I62" s="25">
        <f>G62*100+H62+(20-10)/1000</f>
        <v>0.01</v>
      </c>
      <c r="J62" s="25">
        <f t="shared" si="1"/>
        <v>0</v>
      </c>
      <c r="K62" s="9"/>
      <c r="L62" s="9"/>
    </row>
    <row r="63" spans="1:12" x14ac:dyDescent="0.2">
      <c r="A63" s="25" t="str">
        <f>Players!$A$16</f>
        <v>Henry Holst</v>
      </c>
      <c r="B63" s="25" t="str">
        <f>Players!$B$16</f>
        <v>Wydom’s Woodies</v>
      </c>
      <c r="C63" s="25">
        <f>Players!$C$16</f>
        <v>19</v>
      </c>
      <c r="D63" s="25" t="str">
        <f>'R1 Watson'!AB19</f>
        <v/>
      </c>
      <c r="E63" s="25" t="str">
        <f>'R2 Palmer'!AB19</f>
        <v/>
      </c>
      <c r="F63" s="25" t="str">
        <f>'R3 Nicklaus'!AB19</f>
        <v/>
      </c>
      <c r="G63" s="25">
        <f t="shared" si="0"/>
        <v>0</v>
      </c>
      <c r="H63" s="25">
        <f>'R1 Watson'!AC19+'R2 Palmer'!AC19+'R3 Nicklaus'!AC19</f>
        <v>0</v>
      </c>
      <c r="I63" s="25">
        <f>G63*100+H63+(20-11)/1000</f>
        <v>8.9999999999999993E-3</v>
      </c>
      <c r="J63" s="25">
        <f t="shared" si="1"/>
        <v>0</v>
      </c>
      <c r="K63" s="9"/>
      <c r="L63" s="9"/>
    </row>
    <row r="64" spans="1:12" x14ac:dyDescent="0.2">
      <c r="A64" s="25" t="str">
        <f>Players!$A$17</f>
        <v>Chad Stone</v>
      </c>
      <c r="B64" s="25" t="str">
        <f>Players!$B$17</f>
        <v>Putting Balls in the Hole</v>
      </c>
      <c r="C64" s="25">
        <f>Players!$C$17</f>
        <v>23</v>
      </c>
      <c r="D64" s="25" t="str">
        <f>'R1 Watson'!AB20</f>
        <v/>
      </c>
      <c r="E64" s="25" t="str">
        <f>'R2 Palmer'!AB20</f>
        <v/>
      </c>
      <c r="F64" s="25" t="str">
        <f>'R3 Nicklaus'!AB20</f>
        <v/>
      </c>
      <c r="G64" s="25">
        <f t="shared" si="0"/>
        <v>0</v>
      </c>
      <c r="H64" s="25">
        <f>'R1 Watson'!AC20+'R2 Palmer'!AC20+'R3 Nicklaus'!AC20</f>
        <v>0</v>
      </c>
      <c r="I64" s="25">
        <f>G64*100+H64+(20-12)/1000</f>
        <v>8.0000000000000002E-3</v>
      </c>
      <c r="J64" s="25">
        <f t="shared" si="1"/>
        <v>0</v>
      </c>
      <c r="K64" s="9"/>
      <c r="L64" s="9"/>
    </row>
    <row r="65" spans="1:12" x14ac:dyDescent="0.2">
      <c r="A65" s="25" t="str">
        <f>Players!$A$18</f>
        <v>Tom Devine</v>
      </c>
      <c r="B65" s="25" t="str">
        <f>Players!$B$18</f>
        <v>Putting Balls in the Hole</v>
      </c>
      <c r="C65" s="25">
        <f>Players!$C$18</f>
        <v>17</v>
      </c>
      <c r="D65" s="25" t="str">
        <f>'R1 Watson'!AB21</f>
        <v/>
      </c>
      <c r="E65" s="25" t="str">
        <f>'R2 Palmer'!AB21</f>
        <v/>
      </c>
      <c r="F65" s="25" t="str">
        <f>'R3 Nicklaus'!AB21</f>
        <v/>
      </c>
      <c r="G65" s="25">
        <f t="shared" si="0"/>
        <v>0</v>
      </c>
      <c r="H65" s="25">
        <f>'R1 Watson'!AC21+'R2 Palmer'!AC21+'R3 Nicklaus'!AC21</f>
        <v>0</v>
      </c>
      <c r="I65" s="25">
        <f>G65*100+H65+(20-13)/1000</f>
        <v>7.0000000000000001E-3</v>
      </c>
      <c r="J65" s="25">
        <f t="shared" si="1"/>
        <v>0</v>
      </c>
      <c r="K65" s="9"/>
      <c r="L65" s="9"/>
    </row>
    <row r="66" spans="1:12" x14ac:dyDescent="0.2">
      <c r="A66" s="25" t="str">
        <f>Players!$A$19</f>
        <v>Mike Warenda</v>
      </c>
      <c r="B66" s="25" t="str">
        <f>Players!$B$19</f>
        <v>Putting Balls in the Hole</v>
      </c>
      <c r="C66" s="25">
        <f>Players!$C$19</f>
        <v>21</v>
      </c>
      <c r="D66" s="25" t="str">
        <f>'R1 Watson'!AB22</f>
        <v/>
      </c>
      <c r="E66" s="25" t="str">
        <f>'R2 Palmer'!AB22</f>
        <v/>
      </c>
      <c r="F66" s="25" t="str">
        <f>'R3 Nicklaus'!AB22</f>
        <v/>
      </c>
      <c r="G66" s="25">
        <f t="shared" si="0"/>
        <v>0</v>
      </c>
      <c r="H66" s="25">
        <f>'R1 Watson'!AC22+'R2 Palmer'!AC22+'R3 Nicklaus'!AC22</f>
        <v>0</v>
      </c>
      <c r="I66" s="25">
        <f>G66*100+H66+(20-14)/1000</f>
        <v>6.0000000000000001E-3</v>
      </c>
      <c r="J66" s="25">
        <f t="shared" si="1"/>
        <v>0</v>
      </c>
      <c r="K66" s="9"/>
      <c r="L66" s="9"/>
    </row>
    <row r="67" spans="1:12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</sheetData>
  <mergeCells count="2">
    <mergeCell ref="A1:I1"/>
    <mergeCell ref="A2:I2"/>
  </mergeCells>
  <conditionalFormatting sqref="A22:I22">
    <cfRule type="expression" dxfId="6" priority="1">
      <formula>ISNUMBER($H$22)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7637"/>
  </sheetPr>
  <dimension ref="A1:K27"/>
  <sheetViews>
    <sheetView showGridLines="0" workbookViewId="0"/>
  </sheetViews>
  <sheetFormatPr baseColWidth="10" defaultColWidth="8.83203125" defaultRowHeight="15" x14ac:dyDescent="0.2"/>
  <cols>
    <col min="1" max="1" width="18" customWidth="1"/>
    <col min="2" max="9" width="11" customWidth="1"/>
  </cols>
  <sheetData>
    <row r="1" spans="1:11" ht="26" customHeight="1" x14ac:dyDescent="0.2">
      <c r="A1" s="52" t="s">
        <v>65</v>
      </c>
      <c r="B1" s="53"/>
      <c r="C1" s="53"/>
      <c r="D1" s="53"/>
      <c r="E1" s="53"/>
      <c r="F1" s="53"/>
      <c r="G1" s="53"/>
      <c r="H1" s="53"/>
      <c r="I1" s="53"/>
      <c r="J1" s="9"/>
      <c r="K1" s="9"/>
    </row>
    <row r="2" spans="1:11" x14ac:dyDescent="0.2">
      <c r="A2" s="54" t="s">
        <v>66</v>
      </c>
      <c r="B2" s="53"/>
      <c r="C2" s="53"/>
      <c r="D2" s="53"/>
      <c r="E2" s="53"/>
      <c r="F2" s="53"/>
      <c r="G2" s="53"/>
      <c r="H2" s="53"/>
      <c r="I2" s="53"/>
      <c r="J2" s="9"/>
      <c r="K2" s="9"/>
    </row>
    <row r="3" spans="1:1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2">
      <c r="A4" s="15" t="s">
        <v>18</v>
      </c>
      <c r="B4" s="15" t="s">
        <v>67</v>
      </c>
      <c r="C4" s="15" t="s">
        <v>68</v>
      </c>
      <c r="D4" s="15" t="s">
        <v>69</v>
      </c>
      <c r="E4" s="15" t="s">
        <v>70</v>
      </c>
      <c r="F4" s="15" t="s">
        <v>71</v>
      </c>
      <c r="G4" s="15" t="s">
        <v>72</v>
      </c>
      <c r="H4" s="15" t="s">
        <v>73</v>
      </c>
      <c r="I4" s="15" t="s">
        <v>74</v>
      </c>
      <c r="J4" s="9"/>
      <c r="K4" s="9"/>
    </row>
    <row r="5" spans="1:11" x14ac:dyDescent="0.2">
      <c r="A5" s="26" t="str">
        <f>Players!$A$5</f>
        <v>Frank Barta</v>
      </c>
      <c r="B5" s="27">
        <f>COUNTIF('R1 Watson'!$F$24:$W$24,A5)</f>
        <v>0</v>
      </c>
      <c r="C5" s="28">
        <f>B5*'R1 Watson'!$I$25</f>
        <v>0</v>
      </c>
      <c r="D5" s="27">
        <f>COUNTIF('R2 Palmer'!$F$24:$W$24,A5)</f>
        <v>0</v>
      </c>
      <c r="E5" s="28">
        <f>D5*'R2 Palmer'!$I$25</f>
        <v>0</v>
      </c>
      <c r="F5" s="27">
        <f>COUNTIF('R3 Nicklaus'!$F$24:$W$24,A5)</f>
        <v>0</v>
      </c>
      <c r="G5" s="28">
        <f>F5*'R3 Nicklaus'!$I$25</f>
        <v>0</v>
      </c>
      <c r="H5" s="27">
        <f t="shared" ref="H5:H19" si="0">B5+D5+F5</f>
        <v>0</v>
      </c>
      <c r="I5" s="28">
        <f t="shared" ref="I5:I19" si="1">C5+E5+G5</f>
        <v>0</v>
      </c>
      <c r="J5" s="9"/>
      <c r="K5" s="9"/>
    </row>
    <row r="6" spans="1:11" x14ac:dyDescent="0.2">
      <c r="A6" s="26" t="str">
        <f>Players!$A$6</f>
        <v>Marc Wydom</v>
      </c>
      <c r="B6" s="27">
        <f>COUNTIF('R1 Watson'!$F$24:$W$24,A6)</f>
        <v>0</v>
      </c>
      <c r="C6" s="28">
        <f>B6*'R1 Watson'!$I$25</f>
        <v>0</v>
      </c>
      <c r="D6" s="27">
        <f>COUNTIF('R2 Palmer'!$F$24:$W$24,A6)</f>
        <v>0</v>
      </c>
      <c r="E6" s="28">
        <f>D6*'R2 Palmer'!$I$25</f>
        <v>0</v>
      </c>
      <c r="F6" s="27">
        <f>COUNTIF('R3 Nicklaus'!$F$24:$W$24,A6)</f>
        <v>0</v>
      </c>
      <c r="G6" s="28">
        <f>F6*'R3 Nicklaus'!$I$25</f>
        <v>0</v>
      </c>
      <c r="H6" s="27">
        <f t="shared" si="0"/>
        <v>0</v>
      </c>
      <c r="I6" s="28">
        <f t="shared" si="1"/>
        <v>0</v>
      </c>
      <c r="J6" s="9"/>
      <c r="K6" s="9"/>
    </row>
    <row r="7" spans="1:11" x14ac:dyDescent="0.2">
      <c r="A7" s="26" t="str">
        <f>Players!$A$7</f>
        <v>Donnie Muller</v>
      </c>
      <c r="B7" s="27">
        <f>COUNTIF('R1 Watson'!$F$24:$W$24,A7)</f>
        <v>0</v>
      </c>
      <c r="C7" s="28">
        <f>B7*'R1 Watson'!$I$25</f>
        <v>0</v>
      </c>
      <c r="D7" s="27">
        <f>COUNTIF('R2 Palmer'!$F$24:$W$24,A7)</f>
        <v>0</v>
      </c>
      <c r="E7" s="28">
        <f>D7*'R2 Palmer'!$I$25</f>
        <v>0</v>
      </c>
      <c r="F7" s="27">
        <f>COUNTIF('R3 Nicklaus'!$F$24:$W$24,A7)</f>
        <v>0</v>
      </c>
      <c r="G7" s="28">
        <f>F7*'R3 Nicklaus'!$I$25</f>
        <v>0</v>
      </c>
      <c r="H7" s="27">
        <f t="shared" si="0"/>
        <v>0</v>
      </c>
      <c r="I7" s="28">
        <f t="shared" si="1"/>
        <v>0</v>
      </c>
      <c r="J7" s="9"/>
      <c r="K7" s="9"/>
    </row>
    <row r="8" spans="1:11" x14ac:dyDescent="0.2">
      <c r="A8" s="26" t="str">
        <f>Players!$A$8</f>
        <v>Tommy Duncan</v>
      </c>
      <c r="B8" s="27">
        <f>COUNTIF('R1 Watson'!$F$24:$W$24,A8)</f>
        <v>0</v>
      </c>
      <c r="C8" s="28">
        <f>B8*'R1 Watson'!$I$25</f>
        <v>0</v>
      </c>
      <c r="D8" s="27">
        <f>COUNTIF('R2 Palmer'!$F$24:$W$24,A8)</f>
        <v>0</v>
      </c>
      <c r="E8" s="28">
        <f>D8*'R2 Palmer'!$I$25</f>
        <v>0</v>
      </c>
      <c r="F8" s="27">
        <f>COUNTIF('R3 Nicklaus'!$F$24:$W$24,A8)</f>
        <v>0</v>
      </c>
      <c r="G8" s="28">
        <f>F8*'R3 Nicklaus'!$I$25</f>
        <v>0</v>
      </c>
      <c r="H8" s="27">
        <f t="shared" si="0"/>
        <v>0</v>
      </c>
      <c r="I8" s="28">
        <f t="shared" si="1"/>
        <v>0</v>
      </c>
      <c r="J8" s="9"/>
      <c r="K8" s="9"/>
    </row>
    <row r="9" spans="1:11" x14ac:dyDescent="0.2">
      <c r="A9" s="26" t="str">
        <f>Players!$A$9</f>
        <v>Jason Kimbo</v>
      </c>
      <c r="B9" s="27">
        <f>COUNTIF('R1 Watson'!$F$24:$W$24,A9)</f>
        <v>0</v>
      </c>
      <c r="C9" s="28">
        <f>B9*'R1 Watson'!$I$25</f>
        <v>0</v>
      </c>
      <c r="D9" s="27">
        <f>COUNTIF('R2 Palmer'!$F$24:$W$24,A9)</f>
        <v>0</v>
      </c>
      <c r="E9" s="28">
        <f>D9*'R2 Palmer'!$I$25</f>
        <v>0</v>
      </c>
      <c r="F9" s="27">
        <f>COUNTIF('R3 Nicklaus'!$F$24:$W$24,A9)</f>
        <v>0</v>
      </c>
      <c r="G9" s="28">
        <f>F9*'R3 Nicklaus'!$I$25</f>
        <v>0</v>
      </c>
      <c r="H9" s="27">
        <f t="shared" si="0"/>
        <v>0</v>
      </c>
      <c r="I9" s="28">
        <f t="shared" si="1"/>
        <v>0</v>
      </c>
      <c r="J9" s="9"/>
      <c r="K9" s="9"/>
    </row>
    <row r="10" spans="1:11" x14ac:dyDescent="0.2">
      <c r="A10" s="26" t="str">
        <f>Players!$A$10</f>
        <v>Spencer Friend</v>
      </c>
      <c r="B10" s="27">
        <f>COUNTIF('R1 Watson'!$F$24:$W$24,A10)</f>
        <v>0</v>
      </c>
      <c r="C10" s="28">
        <f>B10*'R1 Watson'!$I$25</f>
        <v>0</v>
      </c>
      <c r="D10" s="27">
        <f>COUNTIF('R2 Palmer'!$F$24:$W$24,A10)</f>
        <v>0</v>
      </c>
      <c r="E10" s="28">
        <f>D10*'R2 Palmer'!$I$25</f>
        <v>0</v>
      </c>
      <c r="F10" s="27">
        <f>COUNTIF('R3 Nicklaus'!$F$24:$W$24,A10)</f>
        <v>0</v>
      </c>
      <c r="G10" s="28">
        <f>F10*'R3 Nicklaus'!$I$25</f>
        <v>0</v>
      </c>
      <c r="H10" s="27">
        <f t="shared" si="0"/>
        <v>0</v>
      </c>
      <c r="I10" s="28">
        <f t="shared" si="1"/>
        <v>0</v>
      </c>
      <c r="J10" s="9"/>
      <c r="K10" s="9"/>
    </row>
    <row r="11" spans="1:11" x14ac:dyDescent="0.2">
      <c r="A11" s="26" t="str">
        <f>Players!$A$11</f>
        <v>Ben Young</v>
      </c>
      <c r="B11" s="27">
        <f>COUNTIF('R1 Watson'!$F$24:$W$24,A11)</f>
        <v>0</v>
      </c>
      <c r="C11" s="28">
        <f>B11*'R1 Watson'!$I$25</f>
        <v>0</v>
      </c>
      <c r="D11" s="27">
        <f>COUNTIF('R2 Palmer'!$F$24:$W$24,A11)</f>
        <v>0</v>
      </c>
      <c r="E11" s="28">
        <f>D11*'R2 Palmer'!$I$25</f>
        <v>0</v>
      </c>
      <c r="F11" s="27">
        <f>COUNTIF('R3 Nicklaus'!$F$24:$W$24,A11)</f>
        <v>0</v>
      </c>
      <c r="G11" s="28">
        <f>F11*'R3 Nicklaus'!$I$25</f>
        <v>0</v>
      </c>
      <c r="H11" s="27">
        <f t="shared" si="0"/>
        <v>0</v>
      </c>
      <c r="I11" s="28">
        <f t="shared" si="1"/>
        <v>0</v>
      </c>
      <c r="J11" s="9"/>
      <c r="K11" s="9"/>
    </row>
    <row r="12" spans="1:11" x14ac:dyDescent="0.2">
      <c r="A12" s="26" t="str">
        <f>Players!$A$12</f>
        <v>Justin Conrad</v>
      </c>
      <c r="B12" s="27">
        <f>COUNTIF('R1 Watson'!$F$24:$W$24,A12)</f>
        <v>0</v>
      </c>
      <c r="C12" s="28">
        <f>B12*'R1 Watson'!$I$25</f>
        <v>0</v>
      </c>
      <c r="D12" s="27">
        <f>COUNTIF('R2 Palmer'!$F$24:$W$24,A12)</f>
        <v>0</v>
      </c>
      <c r="E12" s="28">
        <f>D12*'R2 Palmer'!$I$25</f>
        <v>0</v>
      </c>
      <c r="F12" s="27">
        <f>COUNTIF('R3 Nicklaus'!$F$24:$W$24,A12)</f>
        <v>0</v>
      </c>
      <c r="G12" s="28">
        <f>F12*'R3 Nicklaus'!$I$25</f>
        <v>0</v>
      </c>
      <c r="H12" s="27">
        <f t="shared" si="0"/>
        <v>0</v>
      </c>
      <c r="I12" s="28">
        <f t="shared" si="1"/>
        <v>0</v>
      </c>
      <c r="J12" s="9"/>
      <c r="K12" s="9"/>
    </row>
    <row r="13" spans="1:11" x14ac:dyDescent="0.2">
      <c r="A13" s="26" t="str">
        <f>Players!$A$13</f>
        <v>Shawn McMaster</v>
      </c>
      <c r="B13" s="27">
        <f>COUNTIF('R1 Watson'!$F$24:$W$24,A13)</f>
        <v>0</v>
      </c>
      <c r="C13" s="28">
        <f>B13*'R1 Watson'!$I$25</f>
        <v>0</v>
      </c>
      <c r="D13" s="27">
        <f>COUNTIF('R2 Palmer'!$F$24:$W$24,A13)</f>
        <v>0</v>
      </c>
      <c r="E13" s="28">
        <f>D13*'R2 Palmer'!$I$25</f>
        <v>0</v>
      </c>
      <c r="F13" s="27">
        <f>COUNTIF('R3 Nicklaus'!$F$24:$W$24,A13)</f>
        <v>0</v>
      </c>
      <c r="G13" s="28">
        <f>F13*'R3 Nicklaus'!$I$25</f>
        <v>0</v>
      </c>
      <c r="H13" s="27">
        <f t="shared" si="0"/>
        <v>0</v>
      </c>
      <c r="I13" s="28">
        <f t="shared" si="1"/>
        <v>0</v>
      </c>
      <c r="J13" s="9"/>
      <c r="K13" s="9"/>
    </row>
    <row r="14" spans="1:11" x14ac:dyDescent="0.2">
      <c r="A14" s="26" t="str">
        <f>Players!$A$14</f>
        <v>Ian Dempsey</v>
      </c>
      <c r="B14" s="27">
        <f>COUNTIF('R1 Watson'!$F$24:$W$24,A14)</f>
        <v>0</v>
      </c>
      <c r="C14" s="28">
        <f>B14*'R1 Watson'!$I$25</f>
        <v>0</v>
      </c>
      <c r="D14" s="27">
        <f>COUNTIF('R2 Palmer'!$F$24:$W$24,A14)</f>
        <v>0</v>
      </c>
      <c r="E14" s="28">
        <f>D14*'R2 Palmer'!$I$25</f>
        <v>0</v>
      </c>
      <c r="F14" s="27">
        <f>COUNTIF('R3 Nicklaus'!$F$24:$W$24,A14)</f>
        <v>0</v>
      </c>
      <c r="G14" s="28">
        <f>F14*'R3 Nicklaus'!$I$25</f>
        <v>0</v>
      </c>
      <c r="H14" s="27">
        <f t="shared" si="0"/>
        <v>0</v>
      </c>
      <c r="I14" s="28">
        <f t="shared" si="1"/>
        <v>0</v>
      </c>
      <c r="J14" s="9"/>
      <c r="K14" s="9"/>
    </row>
    <row r="15" spans="1:11" x14ac:dyDescent="0.2">
      <c r="A15" s="26" t="str">
        <f>Players!$A$15</f>
        <v>Nick Roy</v>
      </c>
      <c r="B15" s="27">
        <f>COUNTIF('R1 Watson'!$F$24:$W$24,A15)</f>
        <v>0</v>
      </c>
      <c r="C15" s="28">
        <f>B15*'R1 Watson'!$I$25</f>
        <v>0</v>
      </c>
      <c r="D15" s="27">
        <f>COUNTIF('R2 Palmer'!$F$24:$W$24,A15)</f>
        <v>0</v>
      </c>
      <c r="E15" s="28">
        <f>D15*'R2 Palmer'!$I$25</f>
        <v>0</v>
      </c>
      <c r="F15" s="27">
        <f>COUNTIF('R3 Nicklaus'!$F$24:$W$24,A15)</f>
        <v>0</v>
      </c>
      <c r="G15" s="28">
        <f>F15*'R3 Nicklaus'!$I$25</f>
        <v>0</v>
      </c>
      <c r="H15" s="27">
        <f t="shared" si="0"/>
        <v>0</v>
      </c>
      <c r="I15" s="28">
        <f t="shared" si="1"/>
        <v>0</v>
      </c>
      <c r="J15" s="9"/>
      <c r="K15" s="9"/>
    </row>
    <row r="16" spans="1:11" x14ac:dyDescent="0.2">
      <c r="A16" s="26" t="str">
        <f>Players!$A$16</f>
        <v>Henry Holst</v>
      </c>
      <c r="B16" s="27">
        <f>COUNTIF('R1 Watson'!$F$24:$W$24,A16)</f>
        <v>0</v>
      </c>
      <c r="C16" s="28">
        <f>B16*'R1 Watson'!$I$25</f>
        <v>0</v>
      </c>
      <c r="D16" s="27">
        <f>COUNTIF('R2 Palmer'!$F$24:$W$24,A16)</f>
        <v>0</v>
      </c>
      <c r="E16" s="28">
        <f>D16*'R2 Palmer'!$I$25</f>
        <v>0</v>
      </c>
      <c r="F16" s="27">
        <f>COUNTIF('R3 Nicklaus'!$F$24:$W$24,A16)</f>
        <v>0</v>
      </c>
      <c r="G16" s="28">
        <f>F16*'R3 Nicklaus'!$I$25</f>
        <v>0</v>
      </c>
      <c r="H16" s="27">
        <f t="shared" si="0"/>
        <v>0</v>
      </c>
      <c r="I16" s="28">
        <f t="shared" si="1"/>
        <v>0</v>
      </c>
      <c r="J16" s="9"/>
      <c r="K16" s="9"/>
    </row>
    <row r="17" spans="1:11" x14ac:dyDescent="0.2">
      <c r="A17" s="26" t="str">
        <f>Players!$A$17</f>
        <v>Chad Stone</v>
      </c>
      <c r="B17" s="27">
        <f>COUNTIF('R1 Watson'!$F$24:$W$24,A17)</f>
        <v>0</v>
      </c>
      <c r="C17" s="28">
        <f>B17*'R1 Watson'!$I$25</f>
        <v>0</v>
      </c>
      <c r="D17" s="27">
        <f>COUNTIF('R2 Palmer'!$F$24:$W$24,A17)</f>
        <v>0</v>
      </c>
      <c r="E17" s="28">
        <f>D17*'R2 Palmer'!$I$25</f>
        <v>0</v>
      </c>
      <c r="F17" s="27">
        <f>COUNTIF('R3 Nicklaus'!$F$24:$W$24,A17)</f>
        <v>0</v>
      </c>
      <c r="G17" s="28">
        <f>F17*'R3 Nicklaus'!$I$25</f>
        <v>0</v>
      </c>
      <c r="H17" s="27">
        <f t="shared" si="0"/>
        <v>0</v>
      </c>
      <c r="I17" s="28">
        <f t="shared" si="1"/>
        <v>0</v>
      </c>
      <c r="J17" s="9"/>
      <c r="K17" s="9"/>
    </row>
    <row r="18" spans="1:11" x14ac:dyDescent="0.2">
      <c r="A18" s="26" t="str">
        <f>Players!$A$18</f>
        <v>Tom Devine</v>
      </c>
      <c r="B18" s="27">
        <f>COUNTIF('R1 Watson'!$F$24:$W$24,A18)</f>
        <v>0</v>
      </c>
      <c r="C18" s="28">
        <f>B18*'R1 Watson'!$I$25</f>
        <v>0</v>
      </c>
      <c r="D18" s="27">
        <f>COUNTIF('R2 Palmer'!$F$24:$W$24,A18)</f>
        <v>0</v>
      </c>
      <c r="E18" s="28">
        <f>D18*'R2 Palmer'!$I$25</f>
        <v>0</v>
      </c>
      <c r="F18" s="27">
        <f>COUNTIF('R3 Nicklaus'!$F$24:$W$24,A18)</f>
        <v>0</v>
      </c>
      <c r="G18" s="28">
        <f>F18*'R3 Nicklaus'!$I$25</f>
        <v>0</v>
      </c>
      <c r="H18" s="27">
        <f t="shared" si="0"/>
        <v>0</v>
      </c>
      <c r="I18" s="28">
        <f t="shared" si="1"/>
        <v>0</v>
      </c>
      <c r="J18" s="9"/>
      <c r="K18" s="9"/>
    </row>
    <row r="19" spans="1:11" x14ac:dyDescent="0.2">
      <c r="A19" s="26" t="str">
        <f>Players!$A$19</f>
        <v>Mike Warenda</v>
      </c>
      <c r="B19" s="27">
        <f>COUNTIF('R1 Watson'!$F$24:$W$24,A19)</f>
        <v>0</v>
      </c>
      <c r="C19" s="28">
        <f>B19*'R1 Watson'!$I$25</f>
        <v>0</v>
      </c>
      <c r="D19" s="27">
        <f>COUNTIF('R2 Palmer'!$F$24:$W$24,A19)</f>
        <v>0</v>
      </c>
      <c r="E19" s="28">
        <f>D19*'R2 Palmer'!$I$25</f>
        <v>0</v>
      </c>
      <c r="F19" s="27">
        <f>COUNTIF('R3 Nicklaus'!$F$24:$W$24,A19)</f>
        <v>0</v>
      </c>
      <c r="G19" s="28">
        <f>F19*'R3 Nicklaus'!$I$25</f>
        <v>0</v>
      </c>
      <c r="H19" s="27">
        <f t="shared" si="0"/>
        <v>0</v>
      </c>
      <c r="I19" s="28">
        <f t="shared" si="1"/>
        <v>0</v>
      </c>
      <c r="J19" s="9"/>
      <c r="K19" s="9"/>
    </row>
    <row r="20" spans="1:11" x14ac:dyDescent="0.2">
      <c r="A20" s="29" t="s">
        <v>15</v>
      </c>
      <c r="B20" s="30">
        <f t="shared" ref="B20:I20" si="2">SUM(B5:B19)</f>
        <v>0</v>
      </c>
      <c r="C20" s="31">
        <f t="shared" si="2"/>
        <v>0</v>
      </c>
      <c r="D20" s="30">
        <f t="shared" si="2"/>
        <v>0</v>
      </c>
      <c r="E20" s="31">
        <f t="shared" si="2"/>
        <v>0</v>
      </c>
      <c r="F20" s="30">
        <f t="shared" si="2"/>
        <v>0</v>
      </c>
      <c r="G20" s="31">
        <f t="shared" si="2"/>
        <v>0</v>
      </c>
      <c r="H20" s="30">
        <f t="shared" si="2"/>
        <v>0</v>
      </c>
      <c r="I20" s="31">
        <f t="shared" si="2"/>
        <v>0</v>
      </c>
      <c r="J20" s="9"/>
      <c r="K20" s="9"/>
    </row>
    <row r="21" spans="1:1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2">
      <c r="A22" s="19" t="s">
        <v>75</v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E5E3F"/>
  </sheetPr>
  <dimension ref="A1:AE94"/>
  <sheetViews>
    <sheetView showGridLines="0" zoomScale="110" workbookViewId="0">
      <pane xSplit="5" ySplit="7" topLeftCell="F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7" customWidth="1"/>
    <col min="3" max="3" width="5" customWidth="1"/>
    <col min="4" max="4" width="7" customWidth="1"/>
    <col min="5" max="5" width="15" customWidth="1"/>
    <col min="6" max="23" width="5.1640625" customWidth="1"/>
    <col min="24" max="26" width="7" customWidth="1"/>
    <col min="27" max="27" width="9" customWidth="1"/>
    <col min="28" max="28" width="10" customWidth="1"/>
    <col min="29" max="31" width="8" customWidth="1"/>
  </cols>
  <sheetData>
    <row r="1" spans="1:31" ht="26" customHeight="1" x14ac:dyDescent="0.2">
      <c r="A1" s="52" t="s">
        <v>76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9"/>
      <c r="AE1" s="9"/>
    </row>
    <row r="2" spans="1:31" x14ac:dyDescent="0.2">
      <c r="A2" s="54" t="s">
        <v>77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9"/>
      <c r="AE2" s="9"/>
    </row>
    <row r="3" spans="1:3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2">
      <c r="A4" s="9"/>
      <c r="B4" s="9"/>
      <c r="C4" s="9"/>
      <c r="D4" s="9"/>
      <c r="E4" s="32" t="s">
        <v>78</v>
      </c>
      <c r="F4" s="15">
        <v>1</v>
      </c>
      <c r="G4" s="15">
        <v>2</v>
      </c>
      <c r="H4" s="15">
        <v>3</v>
      </c>
      <c r="I4" s="15">
        <v>4</v>
      </c>
      <c r="J4" s="15">
        <v>5</v>
      </c>
      <c r="K4" s="15">
        <v>6</v>
      </c>
      <c r="L4" s="15">
        <v>7</v>
      </c>
      <c r="M4" s="15">
        <v>8</v>
      </c>
      <c r="N4" s="15">
        <v>9</v>
      </c>
      <c r="O4" s="15">
        <v>10</v>
      </c>
      <c r="P4" s="15">
        <v>11</v>
      </c>
      <c r="Q4" s="15">
        <v>12</v>
      </c>
      <c r="R4" s="15">
        <v>13</v>
      </c>
      <c r="S4" s="15">
        <v>14</v>
      </c>
      <c r="T4" s="15">
        <v>15</v>
      </c>
      <c r="U4" s="15">
        <v>16</v>
      </c>
      <c r="V4" s="15">
        <v>17</v>
      </c>
      <c r="W4" s="15">
        <v>18</v>
      </c>
      <c r="X4" s="9"/>
      <c r="Y4" s="9"/>
      <c r="Z4" s="9"/>
      <c r="AA4" s="9"/>
      <c r="AB4" s="9"/>
      <c r="AC4" s="9"/>
      <c r="AD4" s="9"/>
      <c r="AE4" s="9"/>
    </row>
    <row r="5" spans="1:31" x14ac:dyDescent="0.2">
      <c r="A5" s="9"/>
      <c r="B5" s="9"/>
      <c r="C5" s="9"/>
      <c r="D5" s="9"/>
      <c r="E5" s="33" t="s">
        <v>79</v>
      </c>
      <c r="F5" s="34">
        <v>5</v>
      </c>
      <c r="G5" s="34">
        <v>4</v>
      </c>
      <c r="H5" s="34">
        <v>3</v>
      </c>
      <c r="I5" s="34">
        <v>4</v>
      </c>
      <c r="J5" s="34">
        <v>4</v>
      </c>
      <c r="K5" s="34">
        <v>4</v>
      </c>
      <c r="L5" s="34">
        <v>3</v>
      </c>
      <c r="M5" s="34">
        <v>5</v>
      </c>
      <c r="N5" s="34">
        <v>4</v>
      </c>
      <c r="O5" s="34">
        <v>4</v>
      </c>
      <c r="P5" s="34">
        <v>4</v>
      </c>
      <c r="Q5" s="34">
        <v>3</v>
      </c>
      <c r="R5" s="34">
        <v>4</v>
      </c>
      <c r="S5" s="34">
        <v>5</v>
      </c>
      <c r="T5" s="34">
        <v>3</v>
      </c>
      <c r="U5" s="34">
        <v>4</v>
      </c>
      <c r="V5" s="34">
        <v>5</v>
      </c>
      <c r="W5" s="34">
        <v>4</v>
      </c>
      <c r="X5" s="35">
        <f>SUM(F5:W5)</f>
        <v>72</v>
      </c>
      <c r="Y5" s="9"/>
      <c r="Z5" s="9"/>
      <c r="AA5" s="9"/>
      <c r="AB5" s="9"/>
      <c r="AC5" s="9"/>
      <c r="AD5" s="9"/>
      <c r="AE5" s="9"/>
    </row>
    <row r="6" spans="1:31" x14ac:dyDescent="0.2">
      <c r="A6" s="9"/>
      <c r="B6" s="9"/>
      <c r="C6" s="9"/>
      <c r="D6" s="9"/>
      <c r="E6" s="33" t="s">
        <v>80</v>
      </c>
      <c r="F6" s="34">
        <v>5</v>
      </c>
      <c r="G6" s="34">
        <v>9</v>
      </c>
      <c r="H6" s="34">
        <v>17</v>
      </c>
      <c r="I6" s="34">
        <v>1</v>
      </c>
      <c r="J6" s="34">
        <v>3</v>
      </c>
      <c r="K6" s="34">
        <v>15</v>
      </c>
      <c r="L6" s="34">
        <v>11</v>
      </c>
      <c r="M6" s="34">
        <v>7</v>
      </c>
      <c r="N6" s="34">
        <v>13</v>
      </c>
      <c r="O6" s="34">
        <v>2</v>
      </c>
      <c r="P6" s="34">
        <v>10</v>
      </c>
      <c r="Q6" s="34">
        <v>16</v>
      </c>
      <c r="R6" s="34">
        <v>14</v>
      </c>
      <c r="S6" s="34">
        <v>18</v>
      </c>
      <c r="T6" s="34">
        <v>12</v>
      </c>
      <c r="U6" s="34">
        <v>4</v>
      </c>
      <c r="V6" s="34">
        <v>8</v>
      </c>
      <c r="W6" s="34">
        <v>6</v>
      </c>
      <c r="X6" s="9"/>
      <c r="Y6" s="9"/>
      <c r="Z6" s="9"/>
      <c r="AA6" s="9"/>
      <c r="AB6" s="9"/>
      <c r="AC6" s="9"/>
      <c r="AD6" s="9"/>
      <c r="AE6" s="9"/>
    </row>
    <row r="7" spans="1:31" x14ac:dyDescent="0.2">
      <c r="A7" s="15" t="s">
        <v>18</v>
      </c>
      <c r="B7" s="15" t="s">
        <v>11</v>
      </c>
      <c r="C7" s="15" t="s">
        <v>19</v>
      </c>
      <c r="D7" s="15" t="s">
        <v>49</v>
      </c>
      <c r="E7" s="15" t="s">
        <v>81</v>
      </c>
      <c r="F7" s="15" t="s">
        <v>82</v>
      </c>
      <c r="G7" s="15" t="s">
        <v>83</v>
      </c>
      <c r="H7" s="15" t="s">
        <v>84</v>
      </c>
      <c r="I7" s="15" t="s">
        <v>85</v>
      </c>
      <c r="J7" s="15" t="s">
        <v>86</v>
      </c>
      <c r="K7" s="15" t="s">
        <v>87</v>
      </c>
      <c r="L7" s="15" t="s">
        <v>88</v>
      </c>
      <c r="M7" s="15" t="s">
        <v>89</v>
      </c>
      <c r="N7" s="15" t="s">
        <v>90</v>
      </c>
      <c r="O7" s="15" t="s">
        <v>91</v>
      </c>
      <c r="P7" s="15" t="s">
        <v>92</v>
      </c>
      <c r="Q7" s="15" t="s">
        <v>93</v>
      </c>
      <c r="R7" s="15" t="s">
        <v>94</v>
      </c>
      <c r="S7" s="15" t="s">
        <v>95</v>
      </c>
      <c r="T7" s="15" t="s">
        <v>96</v>
      </c>
      <c r="U7" s="15" t="s">
        <v>97</v>
      </c>
      <c r="V7" s="15" t="s">
        <v>98</v>
      </c>
      <c r="W7" s="15" t="s">
        <v>99</v>
      </c>
      <c r="X7" s="15" t="s">
        <v>100</v>
      </c>
      <c r="Y7" s="15" t="s">
        <v>101</v>
      </c>
      <c r="Z7" s="15" t="s">
        <v>102</v>
      </c>
      <c r="AA7" s="15" t="s">
        <v>103</v>
      </c>
      <c r="AB7" s="15" t="s">
        <v>104</v>
      </c>
      <c r="AC7" s="15" t="s">
        <v>20</v>
      </c>
      <c r="AD7" s="9"/>
      <c r="AE7" s="9"/>
    </row>
    <row r="8" spans="1:31" x14ac:dyDescent="0.2">
      <c r="A8" s="20" t="str">
        <f>Players!$A$5</f>
        <v>Frank Barta</v>
      </c>
      <c r="B8" s="21" t="str">
        <f>Players!$B$5</f>
        <v>Team 2</v>
      </c>
      <c r="C8" s="12">
        <f>Players!$C$5</f>
        <v>8</v>
      </c>
      <c r="D8" s="12">
        <f>Players!$D$5</f>
        <v>0</v>
      </c>
      <c r="E8" s="36" t="s">
        <v>105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12" t="str">
        <f t="shared" ref="X8:X22" si="0">IF(COUNT(F8:W8)=0,"",SUM(F8:W8))</f>
        <v/>
      </c>
      <c r="Y8" s="12">
        <f t="shared" ref="Y8:Y22" si="1">COUNT(F8:W8)</f>
        <v>0</v>
      </c>
      <c r="Z8" s="12" t="str">
        <f t="shared" ref="Z8:Z22" si="2">IF(COUNT(F8:W8)=0,"",SUM(F46:W46))</f>
        <v/>
      </c>
      <c r="AA8" s="12" t="str">
        <f t="shared" ref="AA8:AA22" si="3">IF(COUNT(F8:W8)=0,"",SUM(F64:W64))</f>
        <v/>
      </c>
      <c r="AB8" s="38" t="str">
        <f t="shared" ref="AB8:AB22" si="4">IF(COUNT(F8:W8)=0,"",C8+AA8)</f>
        <v/>
      </c>
      <c r="AC8" s="12">
        <f t="shared" ref="AC8:AC22" si="5">COUNTIF(F64:W64,"&gt;=4")</f>
        <v>0</v>
      </c>
      <c r="AD8" s="9"/>
      <c r="AE8" s="9"/>
    </row>
    <row r="9" spans="1:31" x14ac:dyDescent="0.2">
      <c r="A9" s="20" t="str">
        <f>Players!$A$6</f>
        <v>Marc Wydom</v>
      </c>
      <c r="B9" s="21" t="str">
        <f>Players!$B$6</f>
        <v>Team 2</v>
      </c>
      <c r="C9" s="12">
        <f>Players!$C$6</f>
        <v>16</v>
      </c>
      <c r="D9" s="12">
        <f>Players!$D$6</f>
        <v>8</v>
      </c>
      <c r="E9" s="36" t="s">
        <v>105</v>
      </c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12" t="str">
        <f t="shared" si="0"/>
        <v/>
      </c>
      <c r="Y9" s="12">
        <f t="shared" si="1"/>
        <v>0</v>
      </c>
      <c r="Z9" s="12" t="str">
        <f t="shared" si="2"/>
        <v/>
      </c>
      <c r="AA9" s="12" t="str">
        <f t="shared" si="3"/>
        <v/>
      </c>
      <c r="AB9" s="38" t="str">
        <f t="shared" si="4"/>
        <v/>
      </c>
      <c r="AC9" s="12">
        <f t="shared" si="5"/>
        <v>0</v>
      </c>
      <c r="AD9" s="9"/>
      <c r="AE9" s="9"/>
    </row>
    <row r="10" spans="1:31" x14ac:dyDescent="0.2">
      <c r="A10" s="20" t="str">
        <f>Players!$A$7</f>
        <v>Donnie Muller</v>
      </c>
      <c r="B10" s="21" t="str">
        <f>Players!$B$7</f>
        <v>Team 2</v>
      </c>
      <c r="C10" s="12">
        <f>Players!$C$7</f>
        <v>19</v>
      </c>
      <c r="D10" s="12">
        <f>Players!$D$7</f>
        <v>11</v>
      </c>
      <c r="E10" s="36" t="s">
        <v>105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12" t="str">
        <f t="shared" si="0"/>
        <v/>
      </c>
      <c r="Y10" s="12">
        <f t="shared" si="1"/>
        <v>0</v>
      </c>
      <c r="Z10" s="12" t="str">
        <f t="shared" si="2"/>
        <v/>
      </c>
      <c r="AA10" s="12" t="str">
        <f t="shared" si="3"/>
        <v/>
      </c>
      <c r="AB10" s="38" t="str">
        <f t="shared" si="4"/>
        <v/>
      </c>
      <c r="AC10" s="12">
        <f t="shared" si="5"/>
        <v>0</v>
      </c>
      <c r="AD10" s="9"/>
      <c r="AE10" s="9"/>
    </row>
    <row r="11" spans="1:31" x14ac:dyDescent="0.2">
      <c r="A11" s="39" t="str">
        <f>Players!$A$8</f>
        <v>Tommy Duncan</v>
      </c>
      <c r="B11" s="40" t="str">
        <f>Players!$B$8</f>
        <v>Skull it and Pray</v>
      </c>
      <c r="C11" s="41">
        <f>Players!$C$8</f>
        <v>24</v>
      </c>
      <c r="D11" s="41">
        <f>Players!$D$8</f>
        <v>16</v>
      </c>
      <c r="E11" s="42" t="s">
        <v>105</v>
      </c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41" t="str">
        <f t="shared" si="0"/>
        <v/>
      </c>
      <c r="Y11" s="41">
        <f t="shared" si="1"/>
        <v>0</v>
      </c>
      <c r="Z11" s="41" t="str">
        <f t="shared" si="2"/>
        <v/>
      </c>
      <c r="AA11" s="41" t="str">
        <f t="shared" si="3"/>
        <v/>
      </c>
      <c r="AB11" s="43" t="str">
        <f t="shared" si="4"/>
        <v/>
      </c>
      <c r="AC11" s="41">
        <f t="shared" si="5"/>
        <v>0</v>
      </c>
      <c r="AD11" s="9"/>
      <c r="AE11" s="9"/>
    </row>
    <row r="12" spans="1:31" x14ac:dyDescent="0.2">
      <c r="A12" s="39" t="str">
        <f>Players!$A$9</f>
        <v>Jason Kimbo</v>
      </c>
      <c r="B12" s="40" t="str">
        <f>Players!$B$9</f>
        <v>Skull it and Pray</v>
      </c>
      <c r="C12" s="41">
        <f>Players!$C$9</f>
        <v>17</v>
      </c>
      <c r="D12" s="41">
        <f>Players!$D$9</f>
        <v>9</v>
      </c>
      <c r="E12" s="42" t="s">
        <v>106</v>
      </c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41" t="str">
        <f t="shared" si="0"/>
        <v/>
      </c>
      <c r="Y12" s="41">
        <f t="shared" si="1"/>
        <v>0</v>
      </c>
      <c r="Z12" s="41" t="str">
        <f t="shared" si="2"/>
        <v/>
      </c>
      <c r="AA12" s="41" t="str">
        <f t="shared" si="3"/>
        <v/>
      </c>
      <c r="AB12" s="43" t="str">
        <f t="shared" si="4"/>
        <v/>
      </c>
      <c r="AC12" s="41">
        <f t="shared" si="5"/>
        <v>0</v>
      </c>
      <c r="AD12" s="9"/>
      <c r="AE12" s="9"/>
    </row>
    <row r="13" spans="1:31" x14ac:dyDescent="0.2">
      <c r="A13" s="39" t="str">
        <f>Players!$A$10</f>
        <v>Spencer Friend</v>
      </c>
      <c r="B13" s="40" t="str">
        <f>Players!$B$10</f>
        <v>Skull it and Pray</v>
      </c>
      <c r="C13" s="41">
        <f>Players!$C$10</f>
        <v>9</v>
      </c>
      <c r="D13" s="41">
        <f>Players!$D$10</f>
        <v>1</v>
      </c>
      <c r="E13" s="42" t="s">
        <v>107</v>
      </c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41" t="str">
        <f t="shared" si="0"/>
        <v/>
      </c>
      <c r="Y13" s="41">
        <f t="shared" si="1"/>
        <v>0</v>
      </c>
      <c r="Z13" s="41" t="str">
        <f t="shared" si="2"/>
        <v/>
      </c>
      <c r="AA13" s="41" t="str">
        <f t="shared" si="3"/>
        <v/>
      </c>
      <c r="AB13" s="43" t="str">
        <f t="shared" si="4"/>
        <v/>
      </c>
      <c r="AC13" s="41">
        <f t="shared" si="5"/>
        <v>0</v>
      </c>
      <c r="AD13" s="9"/>
      <c r="AE13" s="9"/>
    </row>
    <row r="14" spans="1:31" x14ac:dyDescent="0.2">
      <c r="A14" s="20" t="str">
        <f>Players!$A$11</f>
        <v>Ben Young</v>
      </c>
      <c r="B14" s="21" t="str">
        <f>Players!$B$11</f>
        <v>Team 3</v>
      </c>
      <c r="C14" s="12">
        <f>Players!$C$11</f>
        <v>18</v>
      </c>
      <c r="D14" s="12">
        <f>Players!$D$11</f>
        <v>10</v>
      </c>
      <c r="E14" s="36" t="s">
        <v>108</v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12" t="str">
        <f t="shared" si="0"/>
        <v/>
      </c>
      <c r="Y14" s="12">
        <f t="shared" si="1"/>
        <v>0</v>
      </c>
      <c r="Z14" s="12" t="str">
        <f t="shared" si="2"/>
        <v/>
      </c>
      <c r="AA14" s="12" t="str">
        <f t="shared" si="3"/>
        <v/>
      </c>
      <c r="AB14" s="38" t="str">
        <f t="shared" si="4"/>
        <v/>
      </c>
      <c r="AC14" s="12">
        <f t="shared" si="5"/>
        <v>0</v>
      </c>
      <c r="AD14" s="9"/>
      <c r="AE14" s="9"/>
    </row>
    <row r="15" spans="1:31" x14ac:dyDescent="0.2">
      <c r="A15" s="20" t="str">
        <f>Players!$A$12</f>
        <v>Justin Conrad</v>
      </c>
      <c r="B15" s="21" t="str">
        <f>Players!$B$12</f>
        <v>Team 3</v>
      </c>
      <c r="C15" s="12">
        <f>Players!$C$12</f>
        <v>30</v>
      </c>
      <c r="D15" s="12">
        <f>Players!$D$12</f>
        <v>22</v>
      </c>
      <c r="E15" s="36" t="s">
        <v>108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12" t="str">
        <f t="shared" si="0"/>
        <v/>
      </c>
      <c r="Y15" s="12">
        <f t="shared" si="1"/>
        <v>0</v>
      </c>
      <c r="Z15" s="12" t="str">
        <f t="shared" si="2"/>
        <v/>
      </c>
      <c r="AA15" s="12" t="str">
        <f t="shared" si="3"/>
        <v/>
      </c>
      <c r="AB15" s="38" t="str">
        <f t="shared" si="4"/>
        <v/>
      </c>
      <c r="AC15" s="12">
        <f t="shared" si="5"/>
        <v>0</v>
      </c>
      <c r="AD15" s="9"/>
      <c r="AE15" s="9"/>
    </row>
    <row r="16" spans="1:31" x14ac:dyDescent="0.2">
      <c r="A16" s="20" t="str">
        <f>Players!$A$13</f>
        <v>Shawn McMaster</v>
      </c>
      <c r="B16" s="21" t="str">
        <f>Players!$B$13</f>
        <v>Team 3</v>
      </c>
      <c r="C16" s="12">
        <f>Players!$C$13</f>
        <v>19</v>
      </c>
      <c r="D16" s="12">
        <f>Players!$D$13</f>
        <v>11</v>
      </c>
      <c r="E16" s="36" t="s">
        <v>108</v>
      </c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12" t="str">
        <f t="shared" si="0"/>
        <v/>
      </c>
      <c r="Y16" s="12">
        <f t="shared" si="1"/>
        <v>0</v>
      </c>
      <c r="Z16" s="12" t="str">
        <f t="shared" si="2"/>
        <v/>
      </c>
      <c r="AA16" s="12" t="str">
        <f t="shared" si="3"/>
        <v/>
      </c>
      <c r="AB16" s="38" t="str">
        <f t="shared" si="4"/>
        <v/>
      </c>
      <c r="AC16" s="12">
        <f t="shared" si="5"/>
        <v>0</v>
      </c>
      <c r="AD16" s="9"/>
      <c r="AE16" s="9"/>
    </row>
    <row r="17" spans="1:31" x14ac:dyDescent="0.2">
      <c r="A17" s="39" t="str">
        <f>Players!$A$14</f>
        <v>Ian Dempsey</v>
      </c>
      <c r="B17" s="40" t="str">
        <f>Players!$B$14</f>
        <v>Wydom’s Woodies</v>
      </c>
      <c r="C17" s="41">
        <f>Players!$C$14</f>
        <v>21</v>
      </c>
      <c r="D17" s="41">
        <f>Players!$D$14</f>
        <v>13</v>
      </c>
      <c r="E17" s="42" t="s">
        <v>107</v>
      </c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41" t="str">
        <f t="shared" si="0"/>
        <v/>
      </c>
      <c r="Y17" s="41">
        <f t="shared" si="1"/>
        <v>0</v>
      </c>
      <c r="Z17" s="41" t="str">
        <f t="shared" si="2"/>
        <v/>
      </c>
      <c r="AA17" s="41" t="str">
        <f t="shared" si="3"/>
        <v/>
      </c>
      <c r="AB17" s="43" t="str">
        <f t="shared" si="4"/>
        <v/>
      </c>
      <c r="AC17" s="41">
        <f t="shared" si="5"/>
        <v>0</v>
      </c>
      <c r="AD17" s="9"/>
      <c r="AE17" s="9"/>
    </row>
    <row r="18" spans="1:31" x14ac:dyDescent="0.2">
      <c r="A18" s="39" t="str">
        <f>Players!$A$15</f>
        <v>Nick Roy</v>
      </c>
      <c r="B18" s="40" t="str">
        <f>Players!$B$15</f>
        <v>Wydom’s Woodies</v>
      </c>
      <c r="C18" s="41">
        <f>Players!$C$15</f>
        <v>21</v>
      </c>
      <c r="D18" s="41">
        <f>Players!$D$15</f>
        <v>13</v>
      </c>
      <c r="E18" s="42" t="s">
        <v>108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41" t="str">
        <f t="shared" si="0"/>
        <v/>
      </c>
      <c r="Y18" s="41">
        <f t="shared" si="1"/>
        <v>0</v>
      </c>
      <c r="Z18" s="41" t="str">
        <f t="shared" si="2"/>
        <v/>
      </c>
      <c r="AA18" s="41" t="str">
        <f t="shared" si="3"/>
        <v/>
      </c>
      <c r="AB18" s="43" t="str">
        <f t="shared" si="4"/>
        <v/>
      </c>
      <c r="AC18" s="41">
        <f t="shared" si="5"/>
        <v>0</v>
      </c>
      <c r="AD18" s="9"/>
      <c r="AE18" s="9"/>
    </row>
    <row r="19" spans="1:31" x14ac:dyDescent="0.2">
      <c r="A19" s="39" t="str">
        <f>Players!$A$16</f>
        <v>Henry Holst</v>
      </c>
      <c r="B19" s="40" t="str">
        <f>Players!$B$16</f>
        <v>Wydom’s Woodies</v>
      </c>
      <c r="C19" s="41">
        <f>Players!$C$16</f>
        <v>19</v>
      </c>
      <c r="D19" s="41">
        <f>Players!$D$16</f>
        <v>11</v>
      </c>
      <c r="E19" s="42" t="s">
        <v>107</v>
      </c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41" t="str">
        <f t="shared" si="0"/>
        <v/>
      </c>
      <c r="Y19" s="41">
        <f t="shared" si="1"/>
        <v>0</v>
      </c>
      <c r="Z19" s="41" t="str">
        <f t="shared" si="2"/>
        <v/>
      </c>
      <c r="AA19" s="41" t="str">
        <f t="shared" si="3"/>
        <v/>
      </c>
      <c r="AB19" s="43" t="str">
        <f t="shared" si="4"/>
        <v/>
      </c>
      <c r="AC19" s="41">
        <f t="shared" si="5"/>
        <v>0</v>
      </c>
      <c r="AD19" s="9"/>
      <c r="AE19" s="9"/>
    </row>
    <row r="20" spans="1:31" x14ac:dyDescent="0.2">
      <c r="A20" s="20" t="str">
        <f>Players!$A$17</f>
        <v>Chad Stone</v>
      </c>
      <c r="B20" s="21" t="str">
        <f>Players!$B$17</f>
        <v>Putting Balls in the Hole</v>
      </c>
      <c r="C20" s="12">
        <f>Players!$C$17</f>
        <v>23</v>
      </c>
      <c r="D20" s="12">
        <f>Players!$D$17</f>
        <v>15</v>
      </c>
      <c r="E20" s="36" t="s">
        <v>106</v>
      </c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12" t="str">
        <f t="shared" si="0"/>
        <v/>
      </c>
      <c r="Y20" s="12">
        <f t="shared" si="1"/>
        <v>0</v>
      </c>
      <c r="Z20" s="12" t="str">
        <f t="shared" si="2"/>
        <v/>
      </c>
      <c r="AA20" s="12" t="str">
        <f t="shared" si="3"/>
        <v/>
      </c>
      <c r="AB20" s="38" t="str">
        <f t="shared" si="4"/>
        <v/>
      </c>
      <c r="AC20" s="12">
        <f t="shared" si="5"/>
        <v>0</v>
      </c>
      <c r="AD20" s="9"/>
      <c r="AE20" s="9"/>
    </row>
    <row r="21" spans="1:31" x14ac:dyDescent="0.2">
      <c r="A21" s="20" t="str">
        <f>Players!$A$18</f>
        <v>Tom Devine</v>
      </c>
      <c r="B21" s="21" t="str">
        <f>Players!$B$18</f>
        <v>Putting Balls in the Hole</v>
      </c>
      <c r="C21" s="12">
        <f>Players!$C$18</f>
        <v>17</v>
      </c>
      <c r="D21" s="12">
        <f>Players!$D$18</f>
        <v>9</v>
      </c>
      <c r="E21" s="36" t="s">
        <v>106</v>
      </c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12" t="str">
        <f t="shared" si="0"/>
        <v/>
      </c>
      <c r="Y21" s="12">
        <f t="shared" si="1"/>
        <v>0</v>
      </c>
      <c r="Z21" s="12" t="str">
        <f t="shared" si="2"/>
        <v/>
      </c>
      <c r="AA21" s="12" t="str">
        <f t="shared" si="3"/>
        <v/>
      </c>
      <c r="AB21" s="38" t="str">
        <f t="shared" si="4"/>
        <v/>
      </c>
      <c r="AC21" s="12">
        <f t="shared" si="5"/>
        <v>0</v>
      </c>
      <c r="AD21" s="9"/>
      <c r="AE21" s="9"/>
    </row>
    <row r="22" spans="1:31" x14ac:dyDescent="0.2">
      <c r="A22" s="20" t="str">
        <f>Players!$A$19</f>
        <v>Mike Warenda</v>
      </c>
      <c r="B22" s="21" t="str">
        <f>Players!$B$19</f>
        <v>Putting Balls in the Hole</v>
      </c>
      <c r="C22" s="12">
        <f>Players!$C$19</f>
        <v>21</v>
      </c>
      <c r="D22" s="12">
        <f>Players!$D$19</f>
        <v>13</v>
      </c>
      <c r="E22" s="36" t="s">
        <v>106</v>
      </c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12" t="str">
        <f t="shared" si="0"/>
        <v/>
      </c>
      <c r="Y22" s="12">
        <f t="shared" si="1"/>
        <v>0</v>
      </c>
      <c r="Z22" s="12" t="str">
        <f t="shared" si="2"/>
        <v/>
      </c>
      <c r="AA22" s="12" t="str">
        <f t="shared" si="3"/>
        <v/>
      </c>
      <c r="AB22" s="38" t="str">
        <f t="shared" si="4"/>
        <v/>
      </c>
      <c r="AC22" s="12">
        <f t="shared" si="5"/>
        <v>0</v>
      </c>
      <c r="AD22" s="9"/>
      <c r="AE22" s="9"/>
    </row>
    <row r="23" spans="1:3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ht="30" customHeight="1" x14ac:dyDescent="0.2">
      <c r="A24" s="9"/>
      <c r="B24" s="9"/>
      <c r="C24" s="9"/>
      <c r="D24" s="9"/>
      <c r="E24" s="44" t="s">
        <v>109</v>
      </c>
      <c r="F24" s="45" t="str">
        <f t="shared" ref="F24:W24" si="6">IF(COUNT(F46:F60)&lt;15,"",IF(COUNTIF(F46:F60,MIN(F46:F60))&gt;1,"tie",INDEX($A$8:$A$22,MATCH(MIN(F46:F60),F46:F60,0))))</f>
        <v/>
      </c>
      <c r="G24" s="45" t="str">
        <f t="shared" si="6"/>
        <v/>
      </c>
      <c r="H24" s="45" t="str">
        <f t="shared" si="6"/>
        <v/>
      </c>
      <c r="I24" s="45" t="str">
        <f t="shared" si="6"/>
        <v/>
      </c>
      <c r="J24" s="45" t="str">
        <f t="shared" si="6"/>
        <v/>
      </c>
      <c r="K24" s="45" t="str">
        <f t="shared" si="6"/>
        <v/>
      </c>
      <c r="L24" s="45" t="str">
        <f t="shared" si="6"/>
        <v/>
      </c>
      <c r="M24" s="45" t="str">
        <f t="shared" si="6"/>
        <v/>
      </c>
      <c r="N24" s="45" t="str">
        <f t="shared" si="6"/>
        <v/>
      </c>
      <c r="O24" s="45" t="str">
        <f t="shared" si="6"/>
        <v/>
      </c>
      <c r="P24" s="45" t="str">
        <f t="shared" si="6"/>
        <v/>
      </c>
      <c r="Q24" s="45" t="str">
        <f t="shared" si="6"/>
        <v/>
      </c>
      <c r="R24" s="45" t="str">
        <f t="shared" si="6"/>
        <v/>
      </c>
      <c r="S24" s="45" t="str">
        <f t="shared" si="6"/>
        <v/>
      </c>
      <c r="T24" s="45" t="str">
        <f t="shared" si="6"/>
        <v/>
      </c>
      <c r="U24" s="45" t="str">
        <f t="shared" si="6"/>
        <v/>
      </c>
      <c r="V24" s="45" t="str">
        <f t="shared" si="6"/>
        <v/>
      </c>
      <c r="W24" s="45" t="str">
        <f t="shared" si="6"/>
        <v/>
      </c>
      <c r="X24" s="9"/>
      <c r="Y24" s="9"/>
      <c r="Z24" s="9"/>
      <c r="AA24" s="9"/>
      <c r="AB24" s="9"/>
      <c r="AC24" s="9"/>
      <c r="AD24" s="9"/>
      <c r="AE24" s="9"/>
    </row>
    <row r="25" spans="1:31" x14ac:dyDescent="0.2">
      <c r="A25" s="9"/>
      <c r="B25" s="9"/>
      <c r="C25" s="9"/>
      <c r="D25" s="9"/>
      <c r="E25" s="46" t="s">
        <v>110</v>
      </c>
      <c r="F25" s="11">
        <f>COUNTIF(F24:W24,"?*")-COUNTIF(F24:W24,"tie")</f>
        <v>0</v>
      </c>
      <c r="G25" s="9"/>
      <c r="H25" s="46" t="s">
        <v>111</v>
      </c>
      <c r="I25" s="47">
        <f>IF(F25=0,0,Leaderboard!$B$3/F25)</f>
        <v>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x14ac:dyDescent="0.2">
      <c r="A27" s="48" t="s">
        <v>112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x14ac:dyDescent="0.2">
      <c r="A28" s="49" t="str">
        <f t="shared" ref="A28:A42" si="7">A8</f>
        <v>Frank Barta</v>
      </c>
      <c r="B28" s="9"/>
      <c r="C28" s="9"/>
      <c r="D28" s="9"/>
      <c r="E28" s="9"/>
      <c r="F28" s="25">
        <f t="shared" ref="F28:W28" si="8">INT($D8/18)+IF(F$6&lt;=MOD($D8,18),1,0)</f>
        <v>0</v>
      </c>
      <c r="G28" s="25">
        <f t="shared" si="8"/>
        <v>0</v>
      </c>
      <c r="H28" s="25">
        <f t="shared" si="8"/>
        <v>0</v>
      </c>
      <c r="I28" s="25">
        <f t="shared" si="8"/>
        <v>0</v>
      </c>
      <c r="J28" s="25">
        <f t="shared" si="8"/>
        <v>0</v>
      </c>
      <c r="K28" s="25">
        <f t="shared" si="8"/>
        <v>0</v>
      </c>
      <c r="L28" s="25">
        <f t="shared" si="8"/>
        <v>0</v>
      </c>
      <c r="M28" s="25">
        <f t="shared" si="8"/>
        <v>0</v>
      </c>
      <c r="N28" s="25">
        <f t="shared" si="8"/>
        <v>0</v>
      </c>
      <c r="O28" s="25">
        <f t="shared" si="8"/>
        <v>0</v>
      </c>
      <c r="P28" s="25">
        <f t="shared" si="8"/>
        <v>0</v>
      </c>
      <c r="Q28" s="25">
        <f t="shared" si="8"/>
        <v>0</v>
      </c>
      <c r="R28" s="25">
        <f t="shared" si="8"/>
        <v>0</v>
      </c>
      <c r="S28" s="25">
        <f t="shared" si="8"/>
        <v>0</v>
      </c>
      <c r="T28" s="25">
        <f t="shared" si="8"/>
        <v>0</v>
      </c>
      <c r="U28" s="25">
        <f t="shared" si="8"/>
        <v>0</v>
      </c>
      <c r="V28" s="25">
        <f t="shared" si="8"/>
        <v>0</v>
      </c>
      <c r="W28" s="25">
        <f t="shared" si="8"/>
        <v>0</v>
      </c>
      <c r="X28" s="9"/>
      <c r="Y28" s="9"/>
      <c r="Z28" s="9"/>
      <c r="AA28" s="9"/>
      <c r="AB28" s="9"/>
      <c r="AC28" s="9"/>
      <c r="AD28" s="9"/>
      <c r="AE28" s="9"/>
    </row>
    <row r="29" spans="1:31" x14ac:dyDescent="0.2">
      <c r="A29" s="49" t="str">
        <f t="shared" si="7"/>
        <v>Marc Wydom</v>
      </c>
      <c r="B29" s="9"/>
      <c r="C29" s="9"/>
      <c r="D29" s="9"/>
      <c r="E29" s="9"/>
      <c r="F29" s="25">
        <f t="shared" ref="F29:W29" si="9">INT($D9/18)+IF(F$6&lt;=MOD($D9,18),1,0)</f>
        <v>1</v>
      </c>
      <c r="G29" s="25">
        <f t="shared" si="9"/>
        <v>0</v>
      </c>
      <c r="H29" s="25">
        <f t="shared" si="9"/>
        <v>0</v>
      </c>
      <c r="I29" s="25">
        <f t="shared" si="9"/>
        <v>1</v>
      </c>
      <c r="J29" s="25">
        <f t="shared" si="9"/>
        <v>1</v>
      </c>
      <c r="K29" s="25">
        <f t="shared" si="9"/>
        <v>0</v>
      </c>
      <c r="L29" s="25">
        <f t="shared" si="9"/>
        <v>0</v>
      </c>
      <c r="M29" s="25">
        <f t="shared" si="9"/>
        <v>1</v>
      </c>
      <c r="N29" s="25">
        <f t="shared" si="9"/>
        <v>0</v>
      </c>
      <c r="O29" s="25">
        <f t="shared" si="9"/>
        <v>1</v>
      </c>
      <c r="P29" s="25">
        <f t="shared" si="9"/>
        <v>0</v>
      </c>
      <c r="Q29" s="25">
        <f t="shared" si="9"/>
        <v>0</v>
      </c>
      <c r="R29" s="25">
        <f t="shared" si="9"/>
        <v>0</v>
      </c>
      <c r="S29" s="25">
        <f t="shared" si="9"/>
        <v>0</v>
      </c>
      <c r="T29" s="25">
        <f t="shared" si="9"/>
        <v>0</v>
      </c>
      <c r="U29" s="25">
        <f t="shared" si="9"/>
        <v>1</v>
      </c>
      <c r="V29" s="25">
        <f t="shared" si="9"/>
        <v>1</v>
      </c>
      <c r="W29" s="25">
        <f t="shared" si="9"/>
        <v>1</v>
      </c>
      <c r="X29" s="9"/>
      <c r="Y29" s="9"/>
      <c r="Z29" s="9"/>
      <c r="AA29" s="9"/>
      <c r="AB29" s="9"/>
      <c r="AC29" s="9"/>
      <c r="AD29" s="9"/>
      <c r="AE29" s="9"/>
    </row>
    <row r="30" spans="1:31" x14ac:dyDescent="0.2">
      <c r="A30" s="49" t="str">
        <f t="shared" si="7"/>
        <v>Donnie Muller</v>
      </c>
      <c r="B30" s="9"/>
      <c r="C30" s="9"/>
      <c r="D30" s="9"/>
      <c r="E30" s="9"/>
      <c r="F30" s="25">
        <f t="shared" ref="F30:W30" si="10">INT($D10/18)+IF(F$6&lt;=MOD($D10,18),1,0)</f>
        <v>1</v>
      </c>
      <c r="G30" s="25">
        <f t="shared" si="10"/>
        <v>1</v>
      </c>
      <c r="H30" s="25">
        <f t="shared" si="10"/>
        <v>0</v>
      </c>
      <c r="I30" s="25">
        <f t="shared" si="10"/>
        <v>1</v>
      </c>
      <c r="J30" s="25">
        <f t="shared" si="10"/>
        <v>1</v>
      </c>
      <c r="K30" s="25">
        <f t="shared" si="10"/>
        <v>0</v>
      </c>
      <c r="L30" s="25">
        <f t="shared" si="10"/>
        <v>1</v>
      </c>
      <c r="M30" s="25">
        <f t="shared" si="10"/>
        <v>1</v>
      </c>
      <c r="N30" s="25">
        <f t="shared" si="10"/>
        <v>0</v>
      </c>
      <c r="O30" s="25">
        <f t="shared" si="10"/>
        <v>1</v>
      </c>
      <c r="P30" s="25">
        <f t="shared" si="10"/>
        <v>1</v>
      </c>
      <c r="Q30" s="25">
        <f t="shared" si="10"/>
        <v>0</v>
      </c>
      <c r="R30" s="25">
        <f t="shared" si="10"/>
        <v>0</v>
      </c>
      <c r="S30" s="25">
        <f t="shared" si="10"/>
        <v>0</v>
      </c>
      <c r="T30" s="25">
        <f t="shared" si="10"/>
        <v>0</v>
      </c>
      <c r="U30" s="25">
        <f t="shared" si="10"/>
        <v>1</v>
      </c>
      <c r="V30" s="25">
        <f t="shared" si="10"/>
        <v>1</v>
      </c>
      <c r="W30" s="25">
        <f t="shared" si="10"/>
        <v>1</v>
      </c>
      <c r="X30" s="9"/>
      <c r="Y30" s="9"/>
      <c r="Z30" s="9"/>
      <c r="AA30" s="9"/>
      <c r="AB30" s="9"/>
      <c r="AC30" s="9"/>
      <c r="AD30" s="9"/>
      <c r="AE30" s="9"/>
    </row>
    <row r="31" spans="1:31" x14ac:dyDescent="0.2">
      <c r="A31" s="49" t="str">
        <f t="shared" si="7"/>
        <v>Tommy Duncan</v>
      </c>
      <c r="B31" s="9"/>
      <c r="C31" s="9"/>
      <c r="D31" s="9"/>
      <c r="E31" s="9"/>
      <c r="F31" s="25">
        <f t="shared" ref="F31:W31" si="11">INT($D11/18)+IF(F$6&lt;=MOD($D11,18),1,0)</f>
        <v>1</v>
      </c>
      <c r="G31" s="25">
        <f t="shared" si="11"/>
        <v>1</v>
      </c>
      <c r="H31" s="25">
        <f t="shared" si="11"/>
        <v>0</v>
      </c>
      <c r="I31" s="25">
        <f t="shared" si="11"/>
        <v>1</v>
      </c>
      <c r="J31" s="25">
        <f t="shared" si="11"/>
        <v>1</v>
      </c>
      <c r="K31" s="25">
        <f t="shared" si="11"/>
        <v>1</v>
      </c>
      <c r="L31" s="25">
        <f t="shared" si="11"/>
        <v>1</v>
      </c>
      <c r="M31" s="25">
        <f t="shared" si="11"/>
        <v>1</v>
      </c>
      <c r="N31" s="25">
        <f t="shared" si="11"/>
        <v>1</v>
      </c>
      <c r="O31" s="25">
        <f t="shared" si="11"/>
        <v>1</v>
      </c>
      <c r="P31" s="25">
        <f t="shared" si="11"/>
        <v>1</v>
      </c>
      <c r="Q31" s="25">
        <f t="shared" si="11"/>
        <v>1</v>
      </c>
      <c r="R31" s="25">
        <f t="shared" si="11"/>
        <v>1</v>
      </c>
      <c r="S31" s="25">
        <f t="shared" si="11"/>
        <v>0</v>
      </c>
      <c r="T31" s="25">
        <f t="shared" si="11"/>
        <v>1</v>
      </c>
      <c r="U31" s="25">
        <f t="shared" si="11"/>
        <v>1</v>
      </c>
      <c r="V31" s="25">
        <f t="shared" si="11"/>
        <v>1</v>
      </c>
      <c r="W31" s="25">
        <f t="shared" si="11"/>
        <v>1</v>
      </c>
      <c r="X31" s="9"/>
      <c r="Y31" s="9"/>
      <c r="Z31" s="9"/>
      <c r="AA31" s="9"/>
      <c r="AB31" s="9"/>
      <c r="AC31" s="9"/>
      <c r="AD31" s="9"/>
      <c r="AE31" s="9"/>
    </row>
    <row r="32" spans="1:31" x14ac:dyDescent="0.2">
      <c r="A32" s="49" t="str">
        <f t="shared" si="7"/>
        <v>Jason Kimbo</v>
      </c>
      <c r="B32" s="9"/>
      <c r="C32" s="9"/>
      <c r="D32" s="9"/>
      <c r="E32" s="9"/>
      <c r="F32" s="25">
        <f t="shared" ref="F32:W32" si="12">INT($D12/18)+IF(F$6&lt;=MOD($D12,18),1,0)</f>
        <v>1</v>
      </c>
      <c r="G32" s="25">
        <f t="shared" si="12"/>
        <v>1</v>
      </c>
      <c r="H32" s="25">
        <f t="shared" si="12"/>
        <v>0</v>
      </c>
      <c r="I32" s="25">
        <f t="shared" si="12"/>
        <v>1</v>
      </c>
      <c r="J32" s="25">
        <f t="shared" si="12"/>
        <v>1</v>
      </c>
      <c r="K32" s="25">
        <f t="shared" si="12"/>
        <v>0</v>
      </c>
      <c r="L32" s="25">
        <f t="shared" si="12"/>
        <v>0</v>
      </c>
      <c r="M32" s="25">
        <f t="shared" si="12"/>
        <v>1</v>
      </c>
      <c r="N32" s="25">
        <f t="shared" si="12"/>
        <v>0</v>
      </c>
      <c r="O32" s="25">
        <f t="shared" si="12"/>
        <v>1</v>
      </c>
      <c r="P32" s="25">
        <f t="shared" si="12"/>
        <v>0</v>
      </c>
      <c r="Q32" s="25">
        <f t="shared" si="12"/>
        <v>0</v>
      </c>
      <c r="R32" s="25">
        <f t="shared" si="12"/>
        <v>0</v>
      </c>
      <c r="S32" s="25">
        <f t="shared" si="12"/>
        <v>0</v>
      </c>
      <c r="T32" s="25">
        <f t="shared" si="12"/>
        <v>0</v>
      </c>
      <c r="U32" s="25">
        <f t="shared" si="12"/>
        <v>1</v>
      </c>
      <c r="V32" s="25">
        <f t="shared" si="12"/>
        <v>1</v>
      </c>
      <c r="W32" s="25">
        <f t="shared" si="12"/>
        <v>1</v>
      </c>
      <c r="X32" s="9"/>
      <c r="Y32" s="9"/>
      <c r="Z32" s="9"/>
      <c r="AA32" s="9"/>
      <c r="AB32" s="9"/>
      <c r="AC32" s="9"/>
      <c r="AD32" s="9"/>
      <c r="AE32" s="9"/>
    </row>
    <row r="33" spans="1:31" x14ac:dyDescent="0.2">
      <c r="A33" s="49" t="str">
        <f t="shared" si="7"/>
        <v>Spencer Friend</v>
      </c>
      <c r="B33" s="9"/>
      <c r="C33" s="9"/>
      <c r="D33" s="9"/>
      <c r="E33" s="9"/>
      <c r="F33" s="25">
        <f t="shared" ref="F33:W33" si="13">INT($D13/18)+IF(F$6&lt;=MOD($D13,18),1,0)</f>
        <v>0</v>
      </c>
      <c r="G33" s="25">
        <f t="shared" si="13"/>
        <v>0</v>
      </c>
      <c r="H33" s="25">
        <f t="shared" si="13"/>
        <v>0</v>
      </c>
      <c r="I33" s="25">
        <f t="shared" si="13"/>
        <v>1</v>
      </c>
      <c r="J33" s="25">
        <f t="shared" si="13"/>
        <v>0</v>
      </c>
      <c r="K33" s="25">
        <f t="shared" si="13"/>
        <v>0</v>
      </c>
      <c r="L33" s="25">
        <f t="shared" si="13"/>
        <v>0</v>
      </c>
      <c r="M33" s="25">
        <f t="shared" si="13"/>
        <v>0</v>
      </c>
      <c r="N33" s="25">
        <f t="shared" si="13"/>
        <v>0</v>
      </c>
      <c r="O33" s="25">
        <f t="shared" si="13"/>
        <v>0</v>
      </c>
      <c r="P33" s="25">
        <f t="shared" si="13"/>
        <v>0</v>
      </c>
      <c r="Q33" s="25">
        <f t="shared" si="13"/>
        <v>0</v>
      </c>
      <c r="R33" s="25">
        <f t="shared" si="13"/>
        <v>0</v>
      </c>
      <c r="S33" s="25">
        <f t="shared" si="13"/>
        <v>0</v>
      </c>
      <c r="T33" s="25">
        <f t="shared" si="13"/>
        <v>0</v>
      </c>
      <c r="U33" s="25">
        <f t="shared" si="13"/>
        <v>0</v>
      </c>
      <c r="V33" s="25">
        <f t="shared" si="13"/>
        <v>0</v>
      </c>
      <c r="W33" s="25">
        <f t="shared" si="13"/>
        <v>0</v>
      </c>
      <c r="X33" s="9"/>
      <c r="Y33" s="9"/>
      <c r="Z33" s="9"/>
      <c r="AA33" s="9"/>
      <c r="AB33" s="9"/>
      <c r="AC33" s="9"/>
      <c r="AD33" s="9"/>
      <c r="AE33" s="9"/>
    </row>
    <row r="34" spans="1:31" x14ac:dyDescent="0.2">
      <c r="A34" s="49" t="str">
        <f t="shared" si="7"/>
        <v>Ben Young</v>
      </c>
      <c r="B34" s="9"/>
      <c r="C34" s="9"/>
      <c r="D34" s="9"/>
      <c r="E34" s="9"/>
      <c r="F34" s="25">
        <f t="shared" ref="F34:W34" si="14">INT($D14/18)+IF(F$6&lt;=MOD($D14,18),1,0)</f>
        <v>1</v>
      </c>
      <c r="G34" s="25">
        <f t="shared" si="14"/>
        <v>1</v>
      </c>
      <c r="H34" s="25">
        <f t="shared" si="14"/>
        <v>0</v>
      </c>
      <c r="I34" s="25">
        <f t="shared" si="14"/>
        <v>1</v>
      </c>
      <c r="J34" s="25">
        <f t="shared" si="14"/>
        <v>1</v>
      </c>
      <c r="K34" s="25">
        <f t="shared" si="14"/>
        <v>0</v>
      </c>
      <c r="L34" s="25">
        <f t="shared" si="14"/>
        <v>0</v>
      </c>
      <c r="M34" s="25">
        <f t="shared" si="14"/>
        <v>1</v>
      </c>
      <c r="N34" s="25">
        <f t="shared" si="14"/>
        <v>0</v>
      </c>
      <c r="O34" s="25">
        <f t="shared" si="14"/>
        <v>1</v>
      </c>
      <c r="P34" s="25">
        <f t="shared" si="14"/>
        <v>1</v>
      </c>
      <c r="Q34" s="25">
        <f t="shared" si="14"/>
        <v>0</v>
      </c>
      <c r="R34" s="25">
        <f t="shared" si="14"/>
        <v>0</v>
      </c>
      <c r="S34" s="25">
        <f t="shared" si="14"/>
        <v>0</v>
      </c>
      <c r="T34" s="25">
        <f t="shared" si="14"/>
        <v>0</v>
      </c>
      <c r="U34" s="25">
        <f t="shared" si="14"/>
        <v>1</v>
      </c>
      <c r="V34" s="25">
        <f t="shared" si="14"/>
        <v>1</v>
      </c>
      <c r="W34" s="25">
        <f t="shared" si="14"/>
        <v>1</v>
      </c>
      <c r="X34" s="9"/>
      <c r="Y34" s="9"/>
      <c r="Z34" s="9"/>
      <c r="AA34" s="9"/>
      <c r="AB34" s="9"/>
      <c r="AC34" s="9"/>
      <c r="AD34" s="9"/>
      <c r="AE34" s="9"/>
    </row>
    <row r="35" spans="1:31" x14ac:dyDescent="0.2">
      <c r="A35" s="49" t="str">
        <f t="shared" si="7"/>
        <v>Justin Conrad</v>
      </c>
      <c r="B35" s="9"/>
      <c r="C35" s="9"/>
      <c r="D35" s="9"/>
      <c r="E35" s="9"/>
      <c r="F35" s="25">
        <f t="shared" ref="F35:W35" si="15">INT($D15/18)+IF(F$6&lt;=MOD($D15,18),1,0)</f>
        <v>1</v>
      </c>
      <c r="G35" s="25">
        <f t="shared" si="15"/>
        <v>1</v>
      </c>
      <c r="H35" s="25">
        <f t="shared" si="15"/>
        <v>1</v>
      </c>
      <c r="I35" s="25">
        <f t="shared" si="15"/>
        <v>2</v>
      </c>
      <c r="J35" s="25">
        <f t="shared" si="15"/>
        <v>2</v>
      </c>
      <c r="K35" s="25">
        <f t="shared" si="15"/>
        <v>1</v>
      </c>
      <c r="L35" s="25">
        <f t="shared" si="15"/>
        <v>1</v>
      </c>
      <c r="M35" s="25">
        <f t="shared" si="15"/>
        <v>1</v>
      </c>
      <c r="N35" s="25">
        <f t="shared" si="15"/>
        <v>1</v>
      </c>
      <c r="O35" s="25">
        <f t="shared" si="15"/>
        <v>2</v>
      </c>
      <c r="P35" s="25">
        <f t="shared" si="15"/>
        <v>1</v>
      </c>
      <c r="Q35" s="25">
        <f t="shared" si="15"/>
        <v>1</v>
      </c>
      <c r="R35" s="25">
        <f t="shared" si="15"/>
        <v>1</v>
      </c>
      <c r="S35" s="25">
        <f t="shared" si="15"/>
        <v>1</v>
      </c>
      <c r="T35" s="25">
        <f t="shared" si="15"/>
        <v>1</v>
      </c>
      <c r="U35" s="25">
        <f t="shared" si="15"/>
        <v>2</v>
      </c>
      <c r="V35" s="25">
        <f t="shared" si="15"/>
        <v>1</v>
      </c>
      <c r="W35" s="25">
        <f t="shared" si="15"/>
        <v>1</v>
      </c>
      <c r="X35" s="9"/>
      <c r="Y35" s="9"/>
      <c r="Z35" s="9"/>
      <c r="AA35" s="9"/>
      <c r="AB35" s="9"/>
      <c r="AC35" s="9"/>
      <c r="AD35" s="9"/>
      <c r="AE35" s="9"/>
    </row>
    <row r="36" spans="1:31" x14ac:dyDescent="0.2">
      <c r="A36" s="49" t="str">
        <f t="shared" si="7"/>
        <v>Shawn McMaster</v>
      </c>
      <c r="B36" s="9"/>
      <c r="C36" s="9"/>
      <c r="D36" s="9"/>
      <c r="E36" s="9"/>
      <c r="F36" s="25">
        <f t="shared" ref="F36:W36" si="16">INT($D16/18)+IF(F$6&lt;=MOD($D16,18),1,0)</f>
        <v>1</v>
      </c>
      <c r="G36" s="25">
        <f t="shared" si="16"/>
        <v>1</v>
      </c>
      <c r="H36" s="25">
        <f t="shared" si="16"/>
        <v>0</v>
      </c>
      <c r="I36" s="25">
        <f t="shared" si="16"/>
        <v>1</v>
      </c>
      <c r="J36" s="25">
        <f t="shared" si="16"/>
        <v>1</v>
      </c>
      <c r="K36" s="25">
        <f t="shared" si="16"/>
        <v>0</v>
      </c>
      <c r="L36" s="25">
        <f t="shared" si="16"/>
        <v>1</v>
      </c>
      <c r="M36" s="25">
        <f t="shared" si="16"/>
        <v>1</v>
      </c>
      <c r="N36" s="25">
        <f t="shared" si="16"/>
        <v>0</v>
      </c>
      <c r="O36" s="25">
        <f t="shared" si="16"/>
        <v>1</v>
      </c>
      <c r="P36" s="25">
        <f t="shared" si="16"/>
        <v>1</v>
      </c>
      <c r="Q36" s="25">
        <f t="shared" si="16"/>
        <v>0</v>
      </c>
      <c r="R36" s="25">
        <f t="shared" si="16"/>
        <v>0</v>
      </c>
      <c r="S36" s="25">
        <f t="shared" si="16"/>
        <v>0</v>
      </c>
      <c r="T36" s="25">
        <f t="shared" si="16"/>
        <v>0</v>
      </c>
      <c r="U36" s="25">
        <f t="shared" si="16"/>
        <v>1</v>
      </c>
      <c r="V36" s="25">
        <f t="shared" si="16"/>
        <v>1</v>
      </c>
      <c r="W36" s="25">
        <f t="shared" si="16"/>
        <v>1</v>
      </c>
      <c r="X36" s="9"/>
      <c r="Y36" s="9"/>
      <c r="Z36" s="9"/>
      <c r="AA36" s="9"/>
      <c r="AB36" s="9"/>
      <c r="AC36" s="9"/>
      <c r="AD36" s="9"/>
      <c r="AE36" s="9"/>
    </row>
    <row r="37" spans="1:31" x14ac:dyDescent="0.2">
      <c r="A37" s="49" t="str">
        <f t="shared" si="7"/>
        <v>Ian Dempsey</v>
      </c>
      <c r="B37" s="9"/>
      <c r="C37" s="9"/>
      <c r="D37" s="9"/>
      <c r="E37" s="9"/>
      <c r="F37" s="25">
        <f t="shared" ref="F37:W37" si="17">INT($D17/18)+IF(F$6&lt;=MOD($D17,18),1,0)</f>
        <v>1</v>
      </c>
      <c r="G37" s="25">
        <f t="shared" si="17"/>
        <v>1</v>
      </c>
      <c r="H37" s="25">
        <f t="shared" si="17"/>
        <v>0</v>
      </c>
      <c r="I37" s="25">
        <f t="shared" si="17"/>
        <v>1</v>
      </c>
      <c r="J37" s="25">
        <f t="shared" si="17"/>
        <v>1</v>
      </c>
      <c r="K37" s="25">
        <f t="shared" si="17"/>
        <v>0</v>
      </c>
      <c r="L37" s="25">
        <f t="shared" si="17"/>
        <v>1</v>
      </c>
      <c r="M37" s="25">
        <f t="shared" si="17"/>
        <v>1</v>
      </c>
      <c r="N37" s="25">
        <f t="shared" si="17"/>
        <v>1</v>
      </c>
      <c r="O37" s="25">
        <f t="shared" si="17"/>
        <v>1</v>
      </c>
      <c r="P37" s="25">
        <f t="shared" si="17"/>
        <v>1</v>
      </c>
      <c r="Q37" s="25">
        <f t="shared" si="17"/>
        <v>0</v>
      </c>
      <c r="R37" s="25">
        <f t="shared" si="17"/>
        <v>0</v>
      </c>
      <c r="S37" s="25">
        <f t="shared" si="17"/>
        <v>0</v>
      </c>
      <c r="T37" s="25">
        <f t="shared" si="17"/>
        <v>1</v>
      </c>
      <c r="U37" s="25">
        <f t="shared" si="17"/>
        <v>1</v>
      </c>
      <c r="V37" s="25">
        <f t="shared" si="17"/>
        <v>1</v>
      </c>
      <c r="W37" s="25">
        <f t="shared" si="17"/>
        <v>1</v>
      </c>
      <c r="X37" s="9"/>
      <c r="Y37" s="9"/>
      <c r="Z37" s="9"/>
      <c r="AA37" s="9"/>
      <c r="AB37" s="9"/>
      <c r="AC37" s="9"/>
      <c r="AD37" s="9"/>
      <c r="AE37" s="9"/>
    </row>
    <row r="38" spans="1:31" x14ac:dyDescent="0.2">
      <c r="A38" s="49" t="str">
        <f t="shared" si="7"/>
        <v>Nick Roy</v>
      </c>
      <c r="B38" s="9"/>
      <c r="C38" s="9"/>
      <c r="D38" s="9"/>
      <c r="E38" s="9"/>
      <c r="F38" s="25">
        <f t="shared" ref="F38:W38" si="18">INT($D18/18)+IF(F$6&lt;=MOD($D18,18),1,0)</f>
        <v>1</v>
      </c>
      <c r="G38" s="25">
        <f t="shared" si="18"/>
        <v>1</v>
      </c>
      <c r="H38" s="25">
        <f t="shared" si="18"/>
        <v>0</v>
      </c>
      <c r="I38" s="25">
        <f t="shared" si="18"/>
        <v>1</v>
      </c>
      <c r="J38" s="25">
        <f t="shared" si="18"/>
        <v>1</v>
      </c>
      <c r="K38" s="25">
        <f t="shared" si="18"/>
        <v>0</v>
      </c>
      <c r="L38" s="25">
        <f t="shared" si="18"/>
        <v>1</v>
      </c>
      <c r="M38" s="25">
        <f t="shared" si="18"/>
        <v>1</v>
      </c>
      <c r="N38" s="25">
        <f t="shared" si="18"/>
        <v>1</v>
      </c>
      <c r="O38" s="25">
        <f t="shared" si="18"/>
        <v>1</v>
      </c>
      <c r="P38" s="25">
        <f t="shared" si="18"/>
        <v>1</v>
      </c>
      <c r="Q38" s="25">
        <f t="shared" si="18"/>
        <v>0</v>
      </c>
      <c r="R38" s="25">
        <f t="shared" si="18"/>
        <v>0</v>
      </c>
      <c r="S38" s="25">
        <f t="shared" si="18"/>
        <v>0</v>
      </c>
      <c r="T38" s="25">
        <f t="shared" si="18"/>
        <v>1</v>
      </c>
      <c r="U38" s="25">
        <f t="shared" si="18"/>
        <v>1</v>
      </c>
      <c r="V38" s="25">
        <f t="shared" si="18"/>
        <v>1</v>
      </c>
      <c r="W38" s="25">
        <f t="shared" si="18"/>
        <v>1</v>
      </c>
      <c r="X38" s="9"/>
      <c r="Y38" s="9"/>
      <c r="Z38" s="9"/>
      <c r="AA38" s="9"/>
      <c r="AB38" s="9"/>
      <c r="AC38" s="9"/>
      <c r="AD38" s="9"/>
      <c r="AE38" s="9"/>
    </row>
    <row r="39" spans="1:31" x14ac:dyDescent="0.2">
      <c r="A39" s="49" t="str">
        <f t="shared" si="7"/>
        <v>Henry Holst</v>
      </c>
      <c r="B39" s="9"/>
      <c r="C39" s="9"/>
      <c r="D39" s="9"/>
      <c r="E39" s="9"/>
      <c r="F39" s="25">
        <f t="shared" ref="F39:W39" si="19">INT($D19/18)+IF(F$6&lt;=MOD($D19,18),1,0)</f>
        <v>1</v>
      </c>
      <c r="G39" s="25">
        <f t="shared" si="19"/>
        <v>1</v>
      </c>
      <c r="H39" s="25">
        <f t="shared" si="19"/>
        <v>0</v>
      </c>
      <c r="I39" s="25">
        <f t="shared" si="19"/>
        <v>1</v>
      </c>
      <c r="J39" s="25">
        <f t="shared" si="19"/>
        <v>1</v>
      </c>
      <c r="K39" s="25">
        <f t="shared" si="19"/>
        <v>0</v>
      </c>
      <c r="L39" s="25">
        <f t="shared" si="19"/>
        <v>1</v>
      </c>
      <c r="M39" s="25">
        <f t="shared" si="19"/>
        <v>1</v>
      </c>
      <c r="N39" s="25">
        <f t="shared" si="19"/>
        <v>0</v>
      </c>
      <c r="O39" s="25">
        <f t="shared" si="19"/>
        <v>1</v>
      </c>
      <c r="P39" s="25">
        <f t="shared" si="19"/>
        <v>1</v>
      </c>
      <c r="Q39" s="25">
        <f t="shared" si="19"/>
        <v>0</v>
      </c>
      <c r="R39" s="25">
        <f t="shared" si="19"/>
        <v>0</v>
      </c>
      <c r="S39" s="25">
        <f t="shared" si="19"/>
        <v>0</v>
      </c>
      <c r="T39" s="25">
        <f t="shared" si="19"/>
        <v>0</v>
      </c>
      <c r="U39" s="25">
        <f t="shared" si="19"/>
        <v>1</v>
      </c>
      <c r="V39" s="25">
        <f t="shared" si="19"/>
        <v>1</v>
      </c>
      <c r="W39" s="25">
        <f t="shared" si="19"/>
        <v>1</v>
      </c>
      <c r="X39" s="9"/>
      <c r="Y39" s="9"/>
      <c r="Z39" s="9"/>
      <c r="AA39" s="9"/>
      <c r="AB39" s="9"/>
      <c r="AC39" s="9"/>
      <c r="AD39" s="9"/>
      <c r="AE39" s="9"/>
    </row>
    <row r="40" spans="1:31" x14ac:dyDescent="0.2">
      <c r="A40" s="49" t="str">
        <f t="shared" si="7"/>
        <v>Chad Stone</v>
      </c>
      <c r="B40" s="9"/>
      <c r="C40" s="9"/>
      <c r="D40" s="9"/>
      <c r="E40" s="9"/>
      <c r="F40" s="25">
        <f t="shared" ref="F40:W40" si="20">INT($D20/18)+IF(F$6&lt;=MOD($D20,18),1,0)</f>
        <v>1</v>
      </c>
      <c r="G40" s="25">
        <f t="shared" si="20"/>
        <v>1</v>
      </c>
      <c r="H40" s="25">
        <f t="shared" si="20"/>
        <v>0</v>
      </c>
      <c r="I40" s="25">
        <f t="shared" si="20"/>
        <v>1</v>
      </c>
      <c r="J40" s="25">
        <f t="shared" si="20"/>
        <v>1</v>
      </c>
      <c r="K40" s="25">
        <f t="shared" si="20"/>
        <v>1</v>
      </c>
      <c r="L40" s="25">
        <f t="shared" si="20"/>
        <v>1</v>
      </c>
      <c r="M40" s="25">
        <f t="shared" si="20"/>
        <v>1</v>
      </c>
      <c r="N40" s="25">
        <f t="shared" si="20"/>
        <v>1</v>
      </c>
      <c r="O40" s="25">
        <f t="shared" si="20"/>
        <v>1</v>
      </c>
      <c r="P40" s="25">
        <f t="shared" si="20"/>
        <v>1</v>
      </c>
      <c r="Q40" s="25">
        <f t="shared" si="20"/>
        <v>0</v>
      </c>
      <c r="R40" s="25">
        <f t="shared" si="20"/>
        <v>1</v>
      </c>
      <c r="S40" s="25">
        <f t="shared" si="20"/>
        <v>0</v>
      </c>
      <c r="T40" s="25">
        <f t="shared" si="20"/>
        <v>1</v>
      </c>
      <c r="U40" s="25">
        <f t="shared" si="20"/>
        <v>1</v>
      </c>
      <c r="V40" s="25">
        <f t="shared" si="20"/>
        <v>1</v>
      </c>
      <c r="W40" s="25">
        <f t="shared" si="20"/>
        <v>1</v>
      </c>
      <c r="X40" s="9"/>
      <c r="Y40" s="9"/>
      <c r="Z40" s="9"/>
      <c r="AA40" s="9"/>
      <c r="AB40" s="9"/>
      <c r="AC40" s="9"/>
      <c r="AD40" s="9"/>
      <c r="AE40" s="9"/>
    </row>
    <row r="41" spans="1:31" x14ac:dyDescent="0.2">
      <c r="A41" s="49" t="str">
        <f t="shared" si="7"/>
        <v>Tom Devine</v>
      </c>
      <c r="B41" s="9"/>
      <c r="C41" s="9"/>
      <c r="D41" s="9"/>
      <c r="E41" s="9"/>
      <c r="F41" s="25">
        <f t="shared" ref="F41:W41" si="21">INT($D21/18)+IF(F$6&lt;=MOD($D21,18),1,0)</f>
        <v>1</v>
      </c>
      <c r="G41" s="25">
        <f t="shared" si="21"/>
        <v>1</v>
      </c>
      <c r="H41" s="25">
        <f t="shared" si="21"/>
        <v>0</v>
      </c>
      <c r="I41" s="25">
        <f t="shared" si="21"/>
        <v>1</v>
      </c>
      <c r="J41" s="25">
        <f t="shared" si="21"/>
        <v>1</v>
      </c>
      <c r="K41" s="25">
        <f t="shared" si="21"/>
        <v>0</v>
      </c>
      <c r="L41" s="25">
        <f t="shared" si="21"/>
        <v>0</v>
      </c>
      <c r="M41" s="25">
        <f t="shared" si="21"/>
        <v>1</v>
      </c>
      <c r="N41" s="25">
        <f t="shared" si="21"/>
        <v>0</v>
      </c>
      <c r="O41" s="25">
        <f t="shared" si="21"/>
        <v>1</v>
      </c>
      <c r="P41" s="25">
        <f t="shared" si="21"/>
        <v>0</v>
      </c>
      <c r="Q41" s="25">
        <f t="shared" si="21"/>
        <v>0</v>
      </c>
      <c r="R41" s="25">
        <f t="shared" si="21"/>
        <v>0</v>
      </c>
      <c r="S41" s="25">
        <f t="shared" si="21"/>
        <v>0</v>
      </c>
      <c r="T41" s="25">
        <f t="shared" si="21"/>
        <v>0</v>
      </c>
      <c r="U41" s="25">
        <f t="shared" si="21"/>
        <v>1</v>
      </c>
      <c r="V41" s="25">
        <f t="shared" si="21"/>
        <v>1</v>
      </c>
      <c r="W41" s="25">
        <f t="shared" si="21"/>
        <v>1</v>
      </c>
      <c r="X41" s="9"/>
      <c r="Y41" s="9"/>
      <c r="Z41" s="9"/>
      <c r="AA41" s="9"/>
      <c r="AB41" s="9"/>
      <c r="AC41" s="9"/>
      <c r="AD41" s="9"/>
      <c r="AE41" s="9"/>
    </row>
    <row r="42" spans="1:31" x14ac:dyDescent="0.2">
      <c r="A42" s="49" t="str">
        <f t="shared" si="7"/>
        <v>Mike Warenda</v>
      </c>
      <c r="B42" s="9"/>
      <c r="C42" s="9"/>
      <c r="D42" s="9"/>
      <c r="E42" s="9"/>
      <c r="F42" s="25">
        <f t="shared" ref="F42:W42" si="22">INT($D22/18)+IF(F$6&lt;=MOD($D22,18),1,0)</f>
        <v>1</v>
      </c>
      <c r="G42" s="25">
        <f t="shared" si="22"/>
        <v>1</v>
      </c>
      <c r="H42" s="25">
        <f t="shared" si="22"/>
        <v>0</v>
      </c>
      <c r="I42" s="25">
        <f t="shared" si="22"/>
        <v>1</v>
      </c>
      <c r="J42" s="25">
        <f t="shared" si="22"/>
        <v>1</v>
      </c>
      <c r="K42" s="25">
        <f t="shared" si="22"/>
        <v>0</v>
      </c>
      <c r="L42" s="25">
        <f t="shared" si="22"/>
        <v>1</v>
      </c>
      <c r="M42" s="25">
        <f t="shared" si="22"/>
        <v>1</v>
      </c>
      <c r="N42" s="25">
        <f t="shared" si="22"/>
        <v>1</v>
      </c>
      <c r="O42" s="25">
        <f t="shared" si="22"/>
        <v>1</v>
      </c>
      <c r="P42" s="25">
        <f t="shared" si="22"/>
        <v>1</v>
      </c>
      <c r="Q42" s="25">
        <f t="shared" si="22"/>
        <v>0</v>
      </c>
      <c r="R42" s="25">
        <f t="shared" si="22"/>
        <v>0</v>
      </c>
      <c r="S42" s="25">
        <f t="shared" si="22"/>
        <v>0</v>
      </c>
      <c r="T42" s="25">
        <f t="shared" si="22"/>
        <v>1</v>
      </c>
      <c r="U42" s="25">
        <f t="shared" si="22"/>
        <v>1</v>
      </c>
      <c r="V42" s="25">
        <f t="shared" si="22"/>
        <v>1</v>
      </c>
      <c r="W42" s="25">
        <f t="shared" si="22"/>
        <v>1</v>
      </c>
      <c r="X42" s="9"/>
      <c r="Y42" s="9"/>
      <c r="Z42" s="9"/>
      <c r="AA42" s="9"/>
      <c r="AB42" s="9"/>
      <c r="AC42" s="9"/>
      <c r="AD42" s="9"/>
      <c r="AE42" s="9"/>
    </row>
    <row r="43" spans="1:31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x14ac:dyDescent="0.2">
      <c r="A45" s="48" t="s">
        <v>113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x14ac:dyDescent="0.2">
      <c r="A46" s="49" t="str">
        <f t="shared" ref="A46:A60" si="23">A8</f>
        <v>Frank Barta</v>
      </c>
      <c r="B46" s="9"/>
      <c r="C46" s="9"/>
      <c r="D46" s="9"/>
      <c r="E46" s="9"/>
      <c r="F46" s="25" t="str">
        <f t="shared" ref="F46:W46" si="24">IF(ISNUMBER(F8),F8-F28,"")</f>
        <v/>
      </c>
      <c r="G46" s="25" t="str">
        <f t="shared" si="24"/>
        <v/>
      </c>
      <c r="H46" s="25" t="str">
        <f t="shared" si="24"/>
        <v/>
      </c>
      <c r="I46" s="25" t="str">
        <f t="shared" si="24"/>
        <v/>
      </c>
      <c r="J46" s="25" t="str">
        <f t="shared" si="24"/>
        <v/>
      </c>
      <c r="K46" s="25" t="str">
        <f t="shared" si="24"/>
        <v/>
      </c>
      <c r="L46" s="25" t="str">
        <f t="shared" si="24"/>
        <v/>
      </c>
      <c r="M46" s="25" t="str">
        <f t="shared" si="24"/>
        <v/>
      </c>
      <c r="N46" s="25" t="str">
        <f t="shared" si="24"/>
        <v/>
      </c>
      <c r="O46" s="25" t="str">
        <f t="shared" si="24"/>
        <v/>
      </c>
      <c r="P46" s="25" t="str">
        <f t="shared" si="24"/>
        <v/>
      </c>
      <c r="Q46" s="25" t="str">
        <f t="shared" si="24"/>
        <v/>
      </c>
      <c r="R46" s="25" t="str">
        <f t="shared" si="24"/>
        <v/>
      </c>
      <c r="S46" s="25" t="str">
        <f t="shared" si="24"/>
        <v/>
      </c>
      <c r="T46" s="25" t="str">
        <f t="shared" si="24"/>
        <v/>
      </c>
      <c r="U46" s="25" t="str">
        <f t="shared" si="24"/>
        <v/>
      </c>
      <c r="V46" s="25" t="str">
        <f t="shared" si="24"/>
        <v/>
      </c>
      <c r="W46" s="25" t="str">
        <f t="shared" si="24"/>
        <v/>
      </c>
      <c r="X46" s="9"/>
      <c r="Y46" s="9"/>
      <c r="Z46" s="9"/>
      <c r="AA46" s="9"/>
      <c r="AB46" s="9"/>
      <c r="AC46" s="9"/>
      <c r="AD46" s="9"/>
      <c r="AE46" s="9"/>
    </row>
    <row r="47" spans="1:31" x14ac:dyDescent="0.2">
      <c r="A47" s="49" t="str">
        <f t="shared" si="23"/>
        <v>Marc Wydom</v>
      </c>
      <c r="B47" s="9"/>
      <c r="C47" s="9"/>
      <c r="D47" s="9"/>
      <c r="E47" s="9"/>
      <c r="F47" s="25" t="str">
        <f t="shared" ref="F47:W47" si="25">IF(ISNUMBER(F9),F9-F29,"")</f>
        <v/>
      </c>
      <c r="G47" s="25" t="str">
        <f t="shared" si="25"/>
        <v/>
      </c>
      <c r="H47" s="25" t="str">
        <f t="shared" si="25"/>
        <v/>
      </c>
      <c r="I47" s="25" t="str">
        <f t="shared" si="25"/>
        <v/>
      </c>
      <c r="J47" s="25" t="str">
        <f t="shared" si="25"/>
        <v/>
      </c>
      <c r="K47" s="25" t="str">
        <f t="shared" si="25"/>
        <v/>
      </c>
      <c r="L47" s="25" t="str">
        <f t="shared" si="25"/>
        <v/>
      </c>
      <c r="M47" s="25" t="str">
        <f t="shared" si="25"/>
        <v/>
      </c>
      <c r="N47" s="25" t="str">
        <f t="shared" si="25"/>
        <v/>
      </c>
      <c r="O47" s="25" t="str">
        <f t="shared" si="25"/>
        <v/>
      </c>
      <c r="P47" s="25" t="str">
        <f t="shared" si="25"/>
        <v/>
      </c>
      <c r="Q47" s="25" t="str">
        <f t="shared" si="25"/>
        <v/>
      </c>
      <c r="R47" s="25" t="str">
        <f t="shared" si="25"/>
        <v/>
      </c>
      <c r="S47" s="25" t="str">
        <f t="shared" si="25"/>
        <v/>
      </c>
      <c r="T47" s="25" t="str">
        <f t="shared" si="25"/>
        <v/>
      </c>
      <c r="U47" s="25" t="str">
        <f t="shared" si="25"/>
        <v/>
      </c>
      <c r="V47" s="25" t="str">
        <f t="shared" si="25"/>
        <v/>
      </c>
      <c r="W47" s="25" t="str">
        <f t="shared" si="25"/>
        <v/>
      </c>
      <c r="X47" s="9"/>
      <c r="Y47" s="9"/>
      <c r="Z47" s="9"/>
      <c r="AA47" s="9"/>
      <c r="AB47" s="9"/>
      <c r="AC47" s="9"/>
      <c r="AD47" s="9"/>
      <c r="AE47" s="9"/>
    </row>
    <row r="48" spans="1:31" x14ac:dyDescent="0.2">
      <c r="A48" s="49" t="str">
        <f t="shared" si="23"/>
        <v>Donnie Muller</v>
      </c>
      <c r="B48" s="9"/>
      <c r="C48" s="9"/>
      <c r="D48" s="9"/>
      <c r="E48" s="9"/>
      <c r="F48" s="25" t="str">
        <f t="shared" ref="F48:W48" si="26">IF(ISNUMBER(F10),F10-F30,"")</f>
        <v/>
      </c>
      <c r="G48" s="25" t="str">
        <f t="shared" si="26"/>
        <v/>
      </c>
      <c r="H48" s="25" t="str">
        <f t="shared" si="26"/>
        <v/>
      </c>
      <c r="I48" s="25" t="str">
        <f t="shared" si="26"/>
        <v/>
      </c>
      <c r="J48" s="25" t="str">
        <f t="shared" si="26"/>
        <v/>
      </c>
      <c r="K48" s="25" t="str">
        <f t="shared" si="26"/>
        <v/>
      </c>
      <c r="L48" s="25" t="str">
        <f t="shared" si="26"/>
        <v/>
      </c>
      <c r="M48" s="25" t="str">
        <f t="shared" si="26"/>
        <v/>
      </c>
      <c r="N48" s="25" t="str">
        <f t="shared" si="26"/>
        <v/>
      </c>
      <c r="O48" s="25" t="str">
        <f t="shared" si="26"/>
        <v/>
      </c>
      <c r="P48" s="25" t="str">
        <f t="shared" si="26"/>
        <v/>
      </c>
      <c r="Q48" s="25" t="str">
        <f t="shared" si="26"/>
        <v/>
      </c>
      <c r="R48" s="25" t="str">
        <f t="shared" si="26"/>
        <v/>
      </c>
      <c r="S48" s="25" t="str">
        <f t="shared" si="26"/>
        <v/>
      </c>
      <c r="T48" s="25" t="str">
        <f t="shared" si="26"/>
        <v/>
      </c>
      <c r="U48" s="25" t="str">
        <f t="shared" si="26"/>
        <v/>
      </c>
      <c r="V48" s="25" t="str">
        <f t="shared" si="26"/>
        <v/>
      </c>
      <c r="W48" s="25" t="str">
        <f t="shared" si="26"/>
        <v/>
      </c>
      <c r="X48" s="9"/>
      <c r="Y48" s="9"/>
      <c r="Z48" s="9"/>
      <c r="AA48" s="9"/>
      <c r="AB48" s="9"/>
      <c r="AC48" s="9"/>
      <c r="AD48" s="9"/>
      <c r="AE48" s="9"/>
    </row>
    <row r="49" spans="1:31" x14ac:dyDescent="0.2">
      <c r="A49" s="49" t="str">
        <f t="shared" si="23"/>
        <v>Tommy Duncan</v>
      </c>
      <c r="B49" s="9"/>
      <c r="C49" s="9"/>
      <c r="D49" s="9"/>
      <c r="E49" s="9"/>
      <c r="F49" s="25" t="str">
        <f t="shared" ref="F49:W49" si="27">IF(ISNUMBER(F11),F11-F31,"")</f>
        <v/>
      </c>
      <c r="G49" s="25" t="str">
        <f t="shared" si="27"/>
        <v/>
      </c>
      <c r="H49" s="25" t="str">
        <f t="shared" si="27"/>
        <v/>
      </c>
      <c r="I49" s="25" t="str">
        <f t="shared" si="27"/>
        <v/>
      </c>
      <c r="J49" s="25" t="str">
        <f t="shared" si="27"/>
        <v/>
      </c>
      <c r="K49" s="25" t="str">
        <f t="shared" si="27"/>
        <v/>
      </c>
      <c r="L49" s="25" t="str">
        <f t="shared" si="27"/>
        <v/>
      </c>
      <c r="M49" s="25" t="str">
        <f t="shared" si="27"/>
        <v/>
      </c>
      <c r="N49" s="25" t="str">
        <f t="shared" si="27"/>
        <v/>
      </c>
      <c r="O49" s="25" t="str">
        <f t="shared" si="27"/>
        <v/>
      </c>
      <c r="P49" s="25" t="str">
        <f t="shared" si="27"/>
        <v/>
      </c>
      <c r="Q49" s="25" t="str">
        <f t="shared" si="27"/>
        <v/>
      </c>
      <c r="R49" s="25" t="str">
        <f t="shared" si="27"/>
        <v/>
      </c>
      <c r="S49" s="25" t="str">
        <f t="shared" si="27"/>
        <v/>
      </c>
      <c r="T49" s="25" t="str">
        <f t="shared" si="27"/>
        <v/>
      </c>
      <c r="U49" s="25" t="str">
        <f t="shared" si="27"/>
        <v/>
      </c>
      <c r="V49" s="25" t="str">
        <f t="shared" si="27"/>
        <v/>
      </c>
      <c r="W49" s="25" t="str">
        <f t="shared" si="27"/>
        <v/>
      </c>
      <c r="X49" s="9"/>
      <c r="Y49" s="9"/>
      <c r="Z49" s="9"/>
      <c r="AA49" s="9"/>
      <c r="AB49" s="9"/>
      <c r="AC49" s="9"/>
      <c r="AD49" s="9"/>
      <c r="AE49" s="9"/>
    </row>
    <row r="50" spans="1:31" x14ac:dyDescent="0.2">
      <c r="A50" s="49" t="str">
        <f t="shared" si="23"/>
        <v>Jason Kimbo</v>
      </c>
      <c r="B50" s="9"/>
      <c r="C50" s="9"/>
      <c r="D50" s="9"/>
      <c r="E50" s="9"/>
      <c r="F50" s="25" t="str">
        <f t="shared" ref="F50:W50" si="28">IF(ISNUMBER(F12),F12-F32,"")</f>
        <v/>
      </c>
      <c r="G50" s="25" t="str">
        <f t="shared" si="28"/>
        <v/>
      </c>
      <c r="H50" s="25" t="str">
        <f t="shared" si="28"/>
        <v/>
      </c>
      <c r="I50" s="25" t="str">
        <f t="shared" si="28"/>
        <v/>
      </c>
      <c r="J50" s="25" t="str">
        <f t="shared" si="28"/>
        <v/>
      </c>
      <c r="K50" s="25" t="str">
        <f t="shared" si="28"/>
        <v/>
      </c>
      <c r="L50" s="25" t="str">
        <f t="shared" si="28"/>
        <v/>
      </c>
      <c r="M50" s="25" t="str">
        <f t="shared" si="28"/>
        <v/>
      </c>
      <c r="N50" s="25" t="str">
        <f t="shared" si="28"/>
        <v/>
      </c>
      <c r="O50" s="25" t="str">
        <f t="shared" si="28"/>
        <v/>
      </c>
      <c r="P50" s="25" t="str">
        <f t="shared" si="28"/>
        <v/>
      </c>
      <c r="Q50" s="25" t="str">
        <f t="shared" si="28"/>
        <v/>
      </c>
      <c r="R50" s="25" t="str">
        <f t="shared" si="28"/>
        <v/>
      </c>
      <c r="S50" s="25" t="str">
        <f t="shared" si="28"/>
        <v/>
      </c>
      <c r="T50" s="25" t="str">
        <f t="shared" si="28"/>
        <v/>
      </c>
      <c r="U50" s="25" t="str">
        <f t="shared" si="28"/>
        <v/>
      </c>
      <c r="V50" s="25" t="str">
        <f t="shared" si="28"/>
        <v/>
      </c>
      <c r="W50" s="25" t="str">
        <f t="shared" si="28"/>
        <v/>
      </c>
      <c r="X50" s="9"/>
      <c r="Y50" s="9"/>
      <c r="Z50" s="9"/>
      <c r="AA50" s="9"/>
      <c r="AB50" s="9"/>
      <c r="AC50" s="9"/>
      <c r="AD50" s="9"/>
      <c r="AE50" s="9"/>
    </row>
    <row r="51" spans="1:31" x14ac:dyDescent="0.2">
      <c r="A51" s="49" t="str">
        <f t="shared" si="23"/>
        <v>Spencer Friend</v>
      </c>
      <c r="B51" s="9"/>
      <c r="C51" s="9"/>
      <c r="D51" s="9"/>
      <c r="E51" s="9"/>
      <c r="F51" s="25" t="str">
        <f t="shared" ref="F51:W51" si="29">IF(ISNUMBER(F13),F13-F33,"")</f>
        <v/>
      </c>
      <c r="G51" s="25" t="str">
        <f t="shared" si="29"/>
        <v/>
      </c>
      <c r="H51" s="25" t="str">
        <f t="shared" si="29"/>
        <v/>
      </c>
      <c r="I51" s="25" t="str">
        <f t="shared" si="29"/>
        <v/>
      </c>
      <c r="J51" s="25" t="str">
        <f t="shared" si="29"/>
        <v/>
      </c>
      <c r="K51" s="25" t="str">
        <f t="shared" si="29"/>
        <v/>
      </c>
      <c r="L51" s="25" t="str">
        <f t="shared" si="29"/>
        <v/>
      </c>
      <c r="M51" s="25" t="str">
        <f t="shared" si="29"/>
        <v/>
      </c>
      <c r="N51" s="25" t="str">
        <f t="shared" si="29"/>
        <v/>
      </c>
      <c r="O51" s="25" t="str">
        <f t="shared" si="29"/>
        <v/>
      </c>
      <c r="P51" s="25" t="str">
        <f t="shared" si="29"/>
        <v/>
      </c>
      <c r="Q51" s="25" t="str">
        <f t="shared" si="29"/>
        <v/>
      </c>
      <c r="R51" s="25" t="str">
        <f t="shared" si="29"/>
        <v/>
      </c>
      <c r="S51" s="25" t="str">
        <f t="shared" si="29"/>
        <v/>
      </c>
      <c r="T51" s="25" t="str">
        <f t="shared" si="29"/>
        <v/>
      </c>
      <c r="U51" s="25" t="str">
        <f t="shared" si="29"/>
        <v/>
      </c>
      <c r="V51" s="25" t="str">
        <f t="shared" si="29"/>
        <v/>
      </c>
      <c r="W51" s="25" t="str">
        <f t="shared" si="29"/>
        <v/>
      </c>
      <c r="X51" s="9"/>
      <c r="Y51" s="9"/>
      <c r="Z51" s="9"/>
      <c r="AA51" s="9"/>
      <c r="AB51" s="9"/>
      <c r="AC51" s="9"/>
      <c r="AD51" s="9"/>
      <c r="AE51" s="9"/>
    </row>
    <row r="52" spans="1:31" x14ac:dyDescent="0.2">
      <c r="A52" s="49" t="str">
        <f t="shared" si="23"/>
        <v>Ben Young</v>
      </c>
      <c r="B52" s="9"/>
      <c r="C52" s="9"/>
      <c r="D52" s="9"/>
      <c r="E52" s="9"/>
      <c r="F52" s="25" t="str">
        <f t="shared" ref="F52:W52" si="30">IF(ISNUMBER(F14),F14-F34,"")</f>
        <v/>
      </c>
      <c r="G52" s="25" t="str">
        <f t="shared" si="30"/>
        <v/>
      </c>
      <c r="H52" s="25" t="str">
        <f t="shared" si="30"/>
        <v/>
      </c>
      <c r="I52" s="25" t="str">
        <f t="shared" si="30"/>
        <v/>
      </c>
      <c r="J52" s="25" t="str">
        <f t="shared" si="30"/>
        <v/>
      </c>
      <c r="K52" s="25" t="str">
        <f t="shared" si="30"/>
        <v/>
      </c>
      <c r="L52" s="25" t="str">
        <f t="shared" si="30"/>
        <v/>
      </c>
      <c r="M52" s="25" t="str">
        <f t="shared" si="30"/>
        <v/>
      </c>
      <c r="N52" s="25" t="str">
        <f t="shared" si="30"/>
        <v/>
      </c>
      <c r="O52" s="25" t="str">
        <f t="shared" si="30"/>
        <v/>
      </c>
      <c r="P52" s="25" t="str">
        <f t="shared" si="30"/>
        <v/>
      </c>
      <c r="Q52" s="25" t="str">
        <f t="shared" si="30"/>
        <v/>
      </c>
      <c r="R52" s="25" t="str">
        <f t="shared" si="30"/>
        <v/>
      </c>
      <c r="S52" s="25" t="str">
        <f t="shared" si="30"/>
        <v/>
      </c>
      <c r="T52" s="25" t="str">
        <f t="shared" si="30"/>
        <v/>
      </c>
      <c r="U52" s="25" t="str">
        <f t="shared" si="30"/>
        <v/>
      </c>
      <c r="V52" s="25" t="str">
        <f t="shared" si="30"/>
        <v/>
      </c>
      <c r="W52" s="25" t="str">
        <f t="shared" si="30"/>
        <v/>
      </c>
      <c r="X52" s="9"/>
      <c r="Y52" s="9"/>
      <c r="Z52" s="9"/>
      <c r="AA52" s="9"/>
      <c r="AB52" s="9"/>
      <c r="AC52" s="9"/>
      <c r="AD52" s="9"/>
      <c r="AE52" s="9"/>
    </row>
    <row r="53" spans="1:31" x14ac:dyDescent="0.2">
      <c r="A53" s="49" t="str">
        <f t="shared" si="23"/>
        <v>Justin Conrad</v>
      </c>
      <c r="B53" s="9"/>
      <c r="C53" s="9"/>
      <c r="D53" s="9"/>
      <c r="E53" s="9"/>
      <c r="F53" s="25" t="str">
        <f t="shared" ref="F53:W53" si="31">IF(ISNUMBER(F15),F15-F35,"")</f>
        <v/>
      </c>
      <c r="G53" s="25" t="str">
        <f t="shared" si="31"/>
        <v/>
      </c>
      <c r="H53" s="25" t="str">
        <f t="shared" si="31"/>
        <v/>
      </c>
      <c r="I53" s="25" t="str">
        <f t="shared" si="31"/>
        <v/>
      </c>
      <c r="J53" s="25" t="str">
        <f t="shared" si="31"/>
        <v/>
      </c>
      <c r="K53" s="25" t="str">
        <f t="shared" si="31"/>
        <v/>
      </c>
      <c r="L53" s="25" t="str">
        <f t="shared" si="31"/>
        <v/>
      </c>
      <c r="M53" s="25" t="str">
        <f t="shared" si="31"/>
        <v/>
      </c>
      <c r="N53" s="25" t="str">
        <f t="shared" si="31"/>
        <v/>
      </c>
      <c r="O53" s="25" t="str">
        <f t="shared" si="31"/>
        <v/>
      </c>
      <c r="P53" s="25" t="str">
        <f t="shared" si="31"/>
        <v/>
      </c>
      <c r="Q53" s="25" t="str">
        <f t="shared" si="31"/>
        <v/>
      </c>
      <c r="R53" s="25" t="str">
        <f t="shared" si="31"/>
        <v/>
      </c>
      <c r="S53" s="25" t="str">
        <f t="shared" si="31"/>
        <v/>
      </c>
      <c r="T53" s="25" t="str">
        <f t="shared" si="31"/>
        <v/>
      </c>
      <c r="U53" s="25" t="str">
        <f t="shared" si="31"/>
        <v/>
      </c>
      <c r="V53" s="25" t="str">
        <f t="shared" si="31"/>
        <v/>
      </c>
      <c r="W53" s="25" t="str">
        <f t="shared" si="31"/>
        <v/>
      </c>
      <c r="X53" s="9"/>
      <c r="Y53" s="9"/>
      <c r="Z53" s="9"/>
      <c r="AA53" s="9"/>
      <c r="AB53" s="9"/>
      <c r="AC53" s="9"/>
      <c r="AD53" s="9"/>
      <c r="AE53" s="9"/>
    </row>
    <row r="54" spans="1:31" x14ac:dyDescent="0.2">
      <c r="A54" s="49" t="str">
        <f t="shared" si="23"/>
        <v>Shawn McMaster</v>
      </c>
      <c r="B54" s="9"/>
      <c r="C54" s="9"/>
      <c r="D54" s="9"/>
      <c r="E54" s="9"/>
      <c r="F54" s="25" t="str">
        <f t="shared" ref="F54:W54" si="32">IF(ISNUMBER(F16),F16-F36,"")</f>
        <v/>
      </c>
      <c r="G54" s="25" t="str">
        <f t="shared" si="32"/>
        <v/>
      </c>
      <c r="H54" s="25" t="str">
        <f t="shared" si="32"/>
        <v/>
      </c>
      <c r="I54" s="25" t="str">
        <f t="shared" si="32"/>
        <v/>
      </c>
      <c r="J54" s="25" t="str">
        <f t="shared" si="32"/>
        <v/>
      </c>
      <c r="K54" s="25" t="str">
        <f t="shared" si="32"/>
        <v/>
      </c>
      <c r="L54" s="25" t="str">
        <f t="shared" si="32"/>
        <v/>
      </c>
      <c r="M54" s="25" t="str">
        <f t="shared" si="32"/>
        <v/>
      </c>
      <c r="N54" s="25" t="str">
        <f t="shared" si="32"/>
        <v/>
      </c>
      <c r="O54" s="25" t="str">
        <f t="shared" si="32"/>
        <v/>
      </c>
      <c r="P54" s="25" t="str">
        <f t="shared" si="32"/>
        <v/>
      </c>
      <c r="Q54" s="25" t="str">
        <f t="shared" si="32"/>
        <v/>
      </c>
      <c r="R54" s="25" t="str">
        <f t="shared" si="32"/>
        <v/>
      </c>
      <c r="S54" s="25" t="str">
        <f t="shared" si="32"/>
        <v/>
      </c>
      <c r="T54" s="25" t="str">
        <f t="shared" si="32"/>
        <v/>
      </c>
      <c r="U54" s="25" t="str">
        <f t="shared" si="32"/>
        <v/>
      </c>
      <c r="V54" s="25" t="str">
        <f t="shared" si="32"/>
        <v/>
      </c>
      <c r="W54" s="25" t="str">
        <f t="shared" si="32"/>
        <v/>
      </c>
      <c r="X54" s="9"/>
      <c r="Y54" s="9"/>
      <c r="Z54" s="9"/>
      <c r="AA54" s="9"/>
      <c r="AB54" s="9"/>
      <c r="AC54" s="9"/>
      <c r="AD54" s="9"/>
      <c r="AE54" s="9"/>
    </row>
    <row r="55" spans="1:31" x14ac:dyDescent="0.2">
      <c r="A55" s="49" t="str">
        <f t="shared" si="23"/>
        <v>Ian Dempsey</v>
      </c>
      <c r="B55" s="9"/>
      <c r="C55" s="9"/>
      <c r="D55" s="9"/>
      <c r="E55" s="9"/>
      <c r="F55" s="25" t="str">
        <f t="shared" ref="F55:W55" si="33">IF(ISNUMBER(F17),F17-F37,"")</f>
        <v/>
      </c>
      <c r="G55" s="25" t="str">
        <f t="shared" si="33"/>
        <v/>
      </c>
      <c r="H55" s="25" t="str">
        <f t="shared" si="33"/>
        <v/>
      </c>
      <c r="I55" s="25" t="str">
        <f t="shared" si="33"/>
        <v/>
      </c>
      <c r="J55" s="25" t="str">
        <f t="shared" si="33"/>
        <v/>
      </c>
      <c r="K55" s="25" t="str">
        <f t="shared" si="33"/>
        <v/>
      </c>
      <c r="L55" s="25" t="str">
        <f t="shared" si="33"/>
        <v/>
      </c>
      <c r="M55" s="25" t="str">
        <f t="shared" si="33"/>
        <v/>
      </c>
      <c r="N55" s="25" t="str">
        <f t="shared" si="33"/>
        <v/>
      </c>
      <c r="O55" s="25" t="str">
        <f t="shared" si="33"/>
        <v/>
      </c>
      <c r="P55" s="25" t="str">
        <f t="shared" si="33"/>
        <v/>
      </c>
      <c r="Q55" s="25" t="str">
        <f t="shared" si="33"/>
        <v/>
      </c>
      <c r="R55" s="25" t="str">
        <f t="shared" si="33"/>
        <v/>
      </c>
      <c r="S55" s="25" t="str">
        <f t="shared" si="33"/>
        <v/>
      </c>
      <c r="T55" s="25" t="str">
        <f t="shared" si="33"/>
        <v/>
      </c>
      <c r="U55" s="25" t="str">
        <f t="shared" si="33"/>
        <v/>
      </c>
      <c r="V55" s="25" t="str">
        <f t="shared" si="33"/>
        <v/>
      </c>
      <c r="W55" s="25" t="str">
        <f t="shared" si="33"/>
        <v/>
      </c>
      <c r="X55" s="9"/>
      <c r="Y55" s="9"/>
      <c r="Z55" s="9"/>
      <c r="AA55" s="9"/>
      <c r="AB55" s="9"/>
      <c r="AC55" s="9"/>
      <c r="AD55" s="9"/>
      <c r="AE55" s="9"/>
    </row>
    <row r="56" spans="1:31" x14ac:dyDescent="0.2">
      <c r="A56" s="49" t="str">
        <f t="shared" si="23"/>
        <v>Nick Roy</v>
      </c>
      <c r="B56" s="9"/>
      <c r="C56" s="9"/>
      <c r="D56" s="9"/>
      <c r="E56" s="9"/>
      <c r="F56" s="25" t="str">
        <f t="shared" ref="F56:W56" si="34">IF(ISNUMBER(F18),F18-F38,"")</f>
        <v/>
      </c>
      <c r="G56" s="25" t="str">
        <f t="shared" si="34"/>
        <v/>
      </c>
      <c r="H56" s="25" t="str">
        <f t="shared" si="34"/>
        <v/>
      </c>
      <c r="I56" s="25" t="str">
        <f t="shared" si="34"/>
        <v/>
      </c>
      <c r="J56" s="25" t="str">
        <f t="shared" si="34"/>
        <v/>
      </c>
      <c r="K56" s="25" t="str">
        <f t="shared" si="34"/>
        <v/>
      </c>
      <c r="L56" s="25" t="str">
        <f t="shared" si="34"/>
        <v/>
      </c>
      <c r="M56" s="25" t="str">
        <f t="shared" si="34"/>
        <v/>
      </c>
      <c r="N56" s="25" t="str">
        <f t="shared" si="34"/>
        <v/>
      </c>
      <c r="O56" s="25" t="str">
        <f t="shared" si="34"/>
        <v/>
      </c>
      <c r="P56" s="25" t="str">
        <f t="shared" si="34"/>
        <v/>
      </c>
      <c r="Q56" s="25" t="str">
        <f t="shared" si="34"/>
        <v/>
      </c>
      <c r="R56" s="25" t="str">
        <f t="shared" si="34"/>
        <v/>
      </c>
      <c r="S56" s="25" t="str">
        <f t="shared" si="34"/>
        <v/>
      </c>
      <c r="T56" s="25" t="str">
        <f t="shared" si="34"/>
        <v/>
      </c>
      <c r="U56" s="25" t="str">
        <f t="shared" si="34"/>
        <v/>
      </c>
      <c r="V56" s="25" t="str">
        <f t="shared" si="34"/>
        <v/>
      </c>
      <c r="W56" s="25" t="str">
        <f t="shared" si="34"/>
        <v/>
      </c>
      <c r="X56" s="9"/>
      <c r="Y56" s="9"/>
      <c r="Z56" s="9"/>
      <c r="AA56" s="9"/>
      <c r="AB56" s="9"/>
      <c r="AC56" s="9"/>
      <c r="AD56" s="9"/>
      <c r="AE56" s="9"/>
    </row>
    <row r="57" spans="1:31" x14ac:dyDescent="0.2">
      <c r="A57" s="49" t="str">
        <f t="shared" si="23"/>
        <v>Henry Holst</v>
      </c>
      <c r="B57" s="9"/>
      <c r="C57" s="9"/>
      <c r="D57" s="9"/>
      <c r="E57" s="9"/>
      <c r="F57" s="25" t="str">
        <f t="shared" ref="F57:W57" si="35">IF(ISNUMBER(F19),F19-F39,"")</f>
        <v/>
      </c>
      <c r="G57" s="25" t="str">
        <f t="shared" si="35"/>
        <v/>
      </c>
      <c r="H57" s="25" t="str">
        <f t="shared" si="35"/>
        <v/>
      </c>
      <c r="I57" s="25" t="str">
        <f t="shared" si="35"/>
        <v/>
      </c>
      <c r="J57" s="25" t="str">
        <f t="shared" si="35"/>
        <v/>
      </c>
      <c r="K57" s="25" t="str">
        <f t="shared" si="35"/>
        <v/>
      </c>
      <c r="L57" s="25" t="str">
        <f t="shared" si="35"/>
        <v/>
      </c>
      <c r="M57" s="25" t="str">
        <f t="shared" si="35"/>
        <v/>
      </c>
      <c r="N57" s="25" t="str">
        <f t="shared" si="35"/>
        <v/>
      </c>
      <c r="O57" s="25" t="str">
        <f t="shared" si="35"/>
        <v/>
      </c>
      <c r="P57" s="25" t="str">
        <f t="shared" si="35"/>
        <v/>
      </c>
      <c r="Q57" s="25" t="str">
        <f t="shared" si="35"/>
        <v/>
      </c>
      <c r="R57" s="25" t="str">
        <f t="shared" si="35"/>
        <v/>
      </c>
      <c r="S57" s="25" t="str">
        <f t="shared" si="35"/>
        <v/>
      </c>
      <c r="T57" s="25" t="str">
        <f t="shared" si="35"/>
        <v/>
      </c>
      <c r="U57" s="25" t="str">
        <f t="shared" si="35"/>
        <v/>
      </c>
      <c r="V57" s="25" t="str">
        <f t="shared" si="35"/>
        <v/>
      </c>
      <c r="W57" s="25" t="str">
        <f t="shared" si="35"/>
        <v/>
      </c>
      <c r="X57" s="9"/>
      <c r="Y57" s="9"/>
      <c r="Z57" s="9"/>
      <c r="AA57" s="9"/>
      <c r="AB57" s="9"/>
      <c r="AC57" s="9"/>
      <c r="AD57" s="9"/>
      <c r="AE57" s="9"/>
    </row>
    <row r="58" spans="1:31" x14ac:dyDescent="0.2">
      <c r="A58" s="49" t="str">
        <f t="shared" si="23"/>
        <v>Chad Stone</v>
      </c>
      <c r="B58" s="9"/>
      <c r="C58" s="9"/>
      <c r="D58" s="9"/>
      <c r="E58" s="9"/>
      <c r="F58" s="25" t="str">
        <f t="shared" ref="F58:W58" si="36">IF(ISNUMBER(F20),F20-F40,"")</f>
        <v/>
      </c>
      <c r="G58" s="25" t="str">
        <f t="shared" si="36"/>
        <v/>
      </c>
      <c r="H58" s="25" t="str">
        <f t="shared" si="36"/>
        <v/>
      </c>
      <c r="I58" s="25" t="str">
        <f t="shared" si="36"/>
        <v/>
      </c>
      <c r="J58" s="25" t="str">
        <f t="shared" si="36"/>
        <v/>
      </c>
      <c r="K58" s="25" t="str">
        <f t="shared" si="36"/>
        <v/>
      </c>
      <c r="L58" s="25" t="str">
        <f t="shared" si="36"/>
        <v/>
      </c>
      <c r="M58" s="25" t="str">
        <f t="shared" si="36"/>
        <v/>
      </c>
      <c r="N58" s="25" t="str">
        <f t="shared" si="36"/>
        <v/>
      </c>
      <c r="O58" s="25" t="str">
        <f t="shared" si="36"/>
        <v/>
      </c>
      <c r="P58" s="25" t="str">
        <f t="shared" si="36"/>
        <v/>
      </c>
      <c r="Q58" s="25" t="str">
        <f t="shared" si="36"/>
        <v/>
      </c>
      <c r="R58" s="25" t="str">
        <f t="shared" si="36"/>
        <v/>
      </c>
      <c r="S58" s="25" t="str">
        <f t="shared" si="36"/>
        <v/>
      </c>
      <c r="T58" s="25" t="str">
        <f t="shared" si="36"/>
        <v/>
      </c>
      <c r="U58" s="25" t="str">
        <f t="shared" si="36"/>
        <v/>
      </c>
      <c r="V58" s="25" t="str">
        <f t="shared" si="36"/>
        <v/>
      </c>
      <c r="W58" s="25" t="str">
        <f t="shared" si="36"/>
        <v/>
      </c>
      <c r="X58" s="9"/>
      <c r="Y58" s="9"/>
      <c r="Z58" s="9"/>
      <c r="AA58" s="9"/>
      <c r="AB58" s="9"/>
      <c r="AC58" s="9"/>
      <c r="AD58" s="9"/>
      <c r="AE58" s="9"/>
    </row>
    <row r="59" spans="1:31" x14ac:dyDescent="0.2">
      <c r="A59" s="49" t="str">
        <f t="shared" si="23"/>
        <v>Tom Devine</v>
      </c>
      <c r="B59" s="9"/>
      <c r="C59" s="9"/>
      <c r="D59" s="9"/>
      <c r="E59" s="9"/>
      <c r="F59" s="25" t="str">
        <f t="shared" ref="F59:W59" si="37">IF(ISNUMBER(F21),F21-F41,"")</f>
        <v/>
      </c>
      <c r="G59" s="25" t="str">
        <f t="shared" si="37"/>
        <v/>
      </c>
      <c r="H59" s="25" t="str">
        <f t="shared" si="37"/>
        <v/>
      </c>
      <c r="I59" s="25" t="str">
        <f t="shared" si="37"/>
        <v/>
      </c>
      <c r="J59" s="25" t="str">
        <f t="shared" si="37"/>
        <v/>
      </c>
      <c r="K59" s="25" t="str">
        <f t="shared" si="37"/>
        <v/>
      </c>
      <c r="L59" s="25" t="str">
        <f t="shared" si="37"/>
        <v/>
      </c>
      <c r="M59" s="25" t="str">
        <f t="shared" si="37"/>
        <v/>
      </c>
      <c r="N59" s="25" t="str">
        <f t="shared" si="37"/>
        <v/>
      </c>
      <c r="O59" s="25" t="str">
        <f t="shared" si="37"/>
        <v/>
      </c>
      <c r="P59" s="25" t="str">
        <f t="shared" si="37"/>
        <v/>
      </c>
      <c r="Q59" s="25" t="str">
        <f t="shared" si="37"/>
        <v/>
      </c>
      <c r="R59" s="25" t="str">
        <f t="shared" si="37"/>
        <v/>
      </c>
      <c r="S59" s="25" t="str">
        <f t="shared" si="37"/>
        <v/>
      </c>
      <c r="T59" s="25" t="str">
        <f t="shared" si="37"/>
        <v/>
      </c>
      <c r="U59" s="25" t="str">
        <f t="shared" si="37"/>
        <v/>
      </c>
      <c r="V59" s="25" t="str">
        <f t="shared" si="37"/>
        <v/>
      </c>
      <c r="W59" s="25" t="str">
        <f t="shared" si="37"/>
        <v/>
      </c>
      <c r="X59" s="9"/>
      <c r="Y59" s="9"/>
      <c r="Z59" s="9"/>
      <c r="AA59" s="9"/>
      <c r="AB59" s="9"/>
      <c r="AC59" s="9"/>
      <c r="AD59" s="9"/>
      <c r="AE59" s="9"/>
    </row>
    <row r="60" spans="1:31" x14ac:dyDescent="0.2">
      <c r="A60" s="49" t="str">
        <f t="shared" si="23"/>
        <v>Mike Warenda</v>
      </c>
      <c r="B60" s="9"/>
      <c r="C60" s="9"/>
      <c r="D60" s="9"/>
      <c r="E60" s="9"/>
      <c r="F60" s="25" t="str">
        <f t="shared" ref="F60:W60" si="38">IF(ISNUMBER(F22),F22-F42,"")</f>
        <v/>
      </c>
      <c r="G60" s="25" t="str">
        <f t="shared" si="38"/>
        <v/>
      </c>
      <c r="H60" s="25" t="str">
        <f t="shared" si="38"/>
        <v/>
      </c>
      <c r="I60" s="25" t="str">
        <f t="shared" si="38"/>
        <v/>
      </c>
      <c r="J60" s="25" t="str">
        <f t="shared" si="38"/>
        <v/>
      </c>
      <c r="K60" s="25" t="str">
        <f t="shared" si="38"/>
        <v/>
      </c>
      <c r="L60" s="25" t="str">
        <f t="shared" si="38"/>
        <v/>
      </c>
      <c r="M60" s="25" t="str">
        <f t="shared" si="38"/>
        <v/>
      </c>
      <c r="N60" s="25" t="str">
        <f t="shared" si="38"/>
        <v/>
      </c>
      <c r="O60" s="25" t="str">
        <f t="shared" si="38"/>
        <v/>
      </c>
      <c r="P60" s="25" t="str">
        <f t="shared" si="38"/>
        <v/>
      </c>
      <c r="Q60" s="25" t="str">
        <f t="shared" si="38"/>
        <v/>
      </c>
      <c r="R60" s="25" t="str">
        <f t="shared" si="38"/>
        <v/>
      </c>
      <c r="S60" s="25" t="str">
        <f t="shared" si="38"/>
        <v/>
      </c>
      <c r="T60" s="25" t="str">
        <f t="shared" si="38"/>
        <v/>
      </c>
      <c r="U60" s="25" t="str">
        <f t="shared" si="38"/>
        <v/>
      </c>
      <c r="V60" s="25" t="str">
        <f t="shared" si="38"/>
        <v/>
      </c>
      <c r="W60" s="25" t="str">
        <f t="shared" si="38"/>
        <v/>
      </c>
      <c r="X60" s="9"/>
      <c r="Y60" s="9"/>
      <c r="Z60" s="9"/>
      <c r="AA60" s="9"/>
      <c r="AB60" s="9"/>
      <c r="AC60" s="9"/>
      <c r="AD60" s="9"/>
      <c r="AE60" s="9"/>
    </row>
    <row r="61" spans="1:31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1" x14ac:dyDescent="0.2">
      <c r="A63" s="48" t="s">
        <v>114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1" x14ac:dyDescent="0.2">
      <c r="A64" s="49" t="str">
        <f t="shared" ref="A64:A78" si="39">A8</f>
        <v>Frank Barta</v>
      </c>
      <c r="B64" s="9"/>
      <c r="C64" s="9"/>
      <c r="D64" s="9"/>
      <c r="E64" s="9"/>
      <c r="F64" s="25" t="str">
        <f t="shared" ref="F64:W64" si="40">IF(ISNUMBER(F8),IF((F8-F$5)&lt;=-2,8,IF((F8-F$5)=-1,4,IF((F8-F$5)=0,2,IF((F8-F$5)=1,1,IF((F8-F$5)=2,0,-1))))),"")</f>
        <v/>
      </c>
      <c r="G64" s="25" t="str">
        <f t="shared" si="40"/>
        <v/>
      </c>
      <c r="H64" s="25" t="str">
        <f t="shared" si="40"/>
        <v/>
      </c>
      <c r="I64" s="25" t="str">
        <f t="shared" si="40"/>
        <v/>
      </c>
      <c r="J64" s="25" t="str">
        <f t="shared" si="40"/>
        <v/>
      </c>
      <c r="K64" s="25" t="str">
        <f t="shared" si="40"/>
        <v/>
      </c>
      <c r="L64" s="25" t="str">
        <f t="shared" si="40"/>
        <v/>
      </c>
      <c r="M64" s="25" t="str">
        <f t="shared" si="40"/>
        <v/>
      </c>
      <c r="N64" s="25" t="str">
        <f t="shared" si="40"/>
        <v/>
      </c>
      <c r="O64" s="25" t="str">
        <f t="shared" si="40"/>
        <v/>
      </c>
      <c r="P64" s="25" t="str">
        <f t="shared" si="40"/>
        <v/>
      </c>
      <c r="Q64" s="25" t="str">
        <f t="shared" si="40"/>
        <v/>
      </c>
      <c r="R64" s="25" t="str">
        <f t="shared" si="40"/>
        <v/>
      </c>
      <c r="S64" s="25" t="str">
        <f t="shared" si="40"/>
        <v/>
      </c>
      <c r="T64" s="25" t="str">
        <f t="shared" si="40"/>
        <v/>
      </c>
      <c r="U64" s="25" t="str">
        <f t="shared" si="40"/>
        <v/>
      </c>
      <c r="V64" s="25" t="str">
        <f t="shared" si="40"/>
        <v/>
      </c>
      <c r="W64" s="25" t="str">
        <f t="shared" si="40"/>
        <v/>
      </c>
      <c r="X64" s="9"/>
      <c r="Y64" s="9"/>
      <c r="Z64" s="9"/>
      <c r="AA64" s="9"/>
      <c r="AB64" s="9"/>
      <c r="AC64" s="9"/>
      <c r="AD64" s="9"/>
      <c r="AE64" s="9"/>
    </row>
    <row r="65" spans="1:31" x14ac:dyDescent="0.2">
      <c r="A65" s="49" t="str">
        <f t="shared" si="39"/>
        <v>Marc Wydom</v>
      </c>
      <c r="B65" s="9"/>
      <c r="C65" s="9"/>
      <c r="D65" s="9"/>
      <c r="E65" s="9"/>
      <c r="F65" s="25" t="str">
        <f t="shared" ref="F65:W65" si="41">IF(ISNUMBER(F9),IF((F9-F$5)&lt;=-2,8,IF((F9-F$5)=-1,4,IF((F9-F$5)=0,2,IF((F9-F$5)=1,1,IF((F9-F$5)=2,0,-1))))),"")</f>
        <v/>
      </c>
      <c r="G65" s="25" t="str">
        <f t="shared" si="41"/>
        <v/>
      </c>
      <c r="H65" s="25" t="str">
        <f t="shared" si="41"/>
        <v/>
      </c>
      <c r="I65" s="25" t="str">
        <f t="shared" si="41"/>
        <v/>
      </c>
      <c r="J65" s="25" t="str">
        <f t="shared" si="41"/>
        <v/>
      </c>
      <c r="K65" s="25" t="str">
        <f t="shared" si="41"/>
        <v/>
      </c>
      <c r="L65" s="25" t="str">
        <f t="shared" si="41"/>
        <v/>
      </c>
      <c r="M65" s="25" t="str">
        <f t="shared" si="41"/>
        <v/>
      </c>
      <c r="N65" s="25" t="str">
        <f t="shared" si="41"/>
        <v/>
      </c>
      <c r="O65" s="25" t="str">
        <f t="shared" si="41"/>
        <v/>
      </c>
      <c r="P65" s="25" t="str">
        <f t="shared" si="41"/>
        <v/>
      </c>
      <c r="Q65" s="25" t="str">
        <f t="shared" si="41"/>
        <v/>
      </c>
      <c r="R65" s="25" t="str">
        <f t="shared" si="41"/>
        <v/>
      </c>
      <c r="S65" s="25" t="str">
        <f t="shared" si="41"/>
        <v/>
      </c>
      <c r="T65" s="25" t="str">
        <f t="shared" si="41"/>
        <v/>
      </c>
      <c r="U65" s="25" t="str">
        <f t="shared" si="41"/>
        <v/>
      </c>
      <c r="V65" s="25" t="str">
        <f t="shared" si="41"/>
        <v/>
      </c>
      <c r="W65" s="25" t="str">
        <f t="shared" si="41"/>
        <v/>
      </c>
      <c r="X65" s="9"/>
      <c r="Y65" s="9"/>
      <c r="Z65" s="9"/>
      <c r="AA65" s="9"/>
      <c r="AB65" s="9"/>
      <c r="AC65" s="9"/>
      <c r="AD65" s="9"/>
      <c r="AE65" s="9"/>
    </row>
    <row r="66" spans="1:31" x14ac:dyDescent="0.2">
      <c r="A66" s="49" t="str">
        <f t="shared" si="39"/>
        <v>Donnie Muller</v>
      </c>
      <c r="B66" s="9"/>
      <c r="C66" s="9"/>
      <c r="D66" s="9"/>
      <c r="E66" s="9"/>
      <c r="F66" s="25" t="str">
        <f t="shared" ref="F66:W66" si="42">IF(ISNUMBER(F10),IF((F10-F$5)&lt;=-2,8,IF((F10-F$5)=-1,4,IF((F10-F$5)=0,2,IF((F10-F$5)=1,1,IF((F10-F$5)=2,0,-1))))),"")</f>
        <v/>
      </c>
      <c r="G66" s="25" t="str">
        <f t="shared" si="42"/>
        <v/>
      </c>
      <c r="H66" s="25" t="str">
        <f t="shared" si="42"/>
        <v/>
      </c>
      <c r="I66" s="25" t="str">
        <f t="shared" si="42"/>
        <v/>
      </c>
      <c r="J66" s="25" t="str">
        <f t="shared" si="42"/>
        <v/>
      </c>
      <c r="K66" s="25" t="str">
        <f t="shared" si="42"/>
        <v/>
      </c>
      <c r="L66" s="25" t="str">
        <f t="shared" si="42"/>
        <v/>
      </c>
      <c r="M66" s="25" t="str">
        <f t="shared" si="42"/>
        <v/>
      </c>
      <c r="N66" s="25" t="str">
        <f t="shared" si="42"/>
        <v/>
      </c>
      <c r="O66" s="25" t="str">
        <f t="shared" si="42"/>
        <v/>
      </c>
      <c r="P66" s="25" t="str">
        <f t="shared" si="42"/>
        <v/>
      </c>
      <c r="Q66" s="25" t="str">
        <f t="shared" si="42"/>
        <v/>
      </c>
      <c r="R66" s="25" t="str">
        <f t="shared" si="42"/>
        <v/>
      </c>
      <c r="S66" s="25" t="str">
        <f t="shared" si="42"/>
        <v/>
      </c>
      <c r="T66" s="25" t="str">
        <f t="shared" si="42"/>
        <v/>
      </c>
      <c r="U66" s="25" t="str">
        <f t="shared" si="42"/>
        <v/>
      </c>
      <c r="V66" s="25" t="str">
        <f t="shared" si="42"/>
        <v/>
      </c>
      <c r="W66" s="25" t="str">
        <f t="shared" si="42"/>
        <v/>
      </c>
      <c r="X66" s="9"/>
      <c r="Y66" s="9"/>
      <c r="Z66" s="9"/>
      <c r="AA66" s="9"/>
      <c r="AB66" s="9"/>
      <c r="AC66" s="9"/>
      <c r="AD66" s="9"/>
      <c r="AE66" s="9"/>
    </row>
    <row r="67" spans="1:31" x14ac:dyDescent="0.2">
      <c r="A67" s="49" t="str">
        <f t="shared" si="39"/>
        <v>Tommy Duncan</v>
      </c>
      <c r="B67" s="9"/>
      <c r="C67" s="9"/>
      <c r="D67" s="9"/>
      <c r="E67" s="9"/>
      <c r="F67" s="25" t="str">
        <f t="shared" ref="F67:W67" si="43">IF(ISNUMBER(F11),IF((F11-F$5)&lt;=-2,8,IF((F11-F$5)=-1,4,IF((F11-F$5)=0,2,IF((F11-F$5)=1,1,IF((F11-F$5)=2,0,-1))))),"")</f>
        <v/>
      </c>
      <c r="G67" s="25" t="str">
        <f t="shared" si="43"/>
        <v/>
      </c>
      <c r="H67" s="25" t="str">
        <f t="shared" si="43"/>
        <v/>
      </c>
      <c r="I67" s="25" t="str">
        <f t="shared" si="43"/>
        <v/>
      </c>
      <c r="J67" s="25" t="str">
        <f t="shared" si="43"/>
        <v/>
      </c>
      <c r="K67" s="25" t="str">
        <f t="shared" si="43"/>
        <v/>
      </c>
      <c r="L67" s="25" t="str">
        <f t="shared" si="43"/>
        <v/>
      </c>
      <c r="M67" s="25" t="str">
        <f t="shared" si="43"/>
        <v/>
      </c>
      <c r="N67" s="25" t="str">
        <f t="shared" si="43"/>
        <v/>
      </c>
      <c r="O67" s="25" t="str">
        <f t="shared" si="43"/>
        <v/>
      </c>
      <c r="P67" s="25" t="str">
        <f t="shared" si="43"/>
        <v/>
      </c>
      <c r="Q67" s="25" t="str">
        <f t="shared" si="43"/>
        <v/>
      </c>
      <c r="R67" s="25" t="str">
        <f t="shared" si="43"/>
        <v/>
      </c>
      <c r="S67" s="25" t="str">
        <f t="shared" si="43"/>
        <v/>
      </c>
      <c r="T67" s="25" t="str">
        <f t="shared" si="43"/>
        <v/>
      </c>
      <c r="U67" s="25" t="str">
        <f t="shared" si="43"/>
        <v/>
      </c>
      <c r="V67" s="25" t="str">
        <f t="shared" si="43"/>
        <v/>
      </c>
      <c r="W67" s="25" t="str">
        <f t="shared" si="43"/>
        <v/>
      </c>
      <c r="X67" s="9"/>
      <c r="Y67" s="9"/>
      <c r="Z67" s="9"/>
      <c r="AA67" s="9"/>
      <c r="AB67" s="9"/>
      <c r="AC67" s="9"/>
      <c r="AD67" s="9"/>
      <c r="AE67" s="9"/>
    </row>
    <row r="68" spans="1:31" x14ac:dyDescent="0.2">
      <c r="A68" s="49" t="str">
        <f t="shared" si="39"/>
        <v>Jason Kimbo</v>
      </c>
      <c r="B68" s="9"/>
      <c r="C68" s="9"/>
      <c r="D68" s="9"/>
      <c r="E68" s="9"/>
      <c r="F68" s="25" t="str">
        <f t="shared" ref="F68:W68" si="44">IF(ISNUMBER(F12),IF((F12-F$5)&lt;=-2,8,IF((F12-F$5)=-1,4,IF((F12-F$5)=0,2,IF((F12-F$5)=1,1,IF((F12-F$5)=2,0,-1))))),"")</f>
        <v/>
      </c>
      <c r="G68" s="25" t="str">
        <f t="shared" si="44"/>
        <v/>
      </c>
      <c r="H68" s="25" t="str">
        <f t="shared" si="44"/>
        <v/>
      </c>
      <c r="I68" s="25" t="str">
        <f t="shared" si="44"/>
        <v/>
      </c>
      <c r="J68" s="25" t="str">
        <f t="shared" si="44"/>
        <v/>
      </c>
      <c r="K68" s="25" t="str">
        <f t="shared" si="44"/>
        <v/>
      </c>
      <c r="L68" s="25" t="str">
        <f t="shared" si="44"/>
        <v/>
      </c>
      <c r="M68" s="25" t="str">
        <f t="shared" si="44"/>
        <v/>
      </c>
      <c r="N68" s="25" t="str">
        <f t="shared" si="44"/>
        <v/>
      </c>
      <c r="O68" s="25" t="str">
        <f t="shared" si="44"/>
        <v/>
      </c>
      <c r="P68" s="25" t="str">
        <f t="shared" si="44"/>
        <v/>
      </c>
      <c r="Q68" s="25" t="str">
        <f t="shared" si="44"/>
        <v/>
      </c>
      <c r="R68" s="25" t="str">
        <f t="shared" si="44"/>
        <v/>
      </c>
      <c r="S68" s="25" t="str">
        <f t="shared" si="44"/>
        <v/>
      </c>
      <c r="T68" s="25" t="str">
        <f t="shared" si="44"/>
        <v/>
      </c>
      <c r="U68" s="25" t="str">
        <f t="shared" si="44"/>
        <v/>
      </c>
      <c r="V68" s="25" t="str">
        <f t="shared" si="44"/>
        <v/>
      </c>
      <c r="W68" s="25" t="str">
        <f t="shared" si="44"/>
        <v/>
      </c>
      <c r="X68" s="9"/>
      <c r="Y68" s="9"/>
      <c r="Z68" s="9"/>
      <c r="AA68" s="9"/>
      <c r="AB68" s="9"/>
      <c r="AC68" s="9"/>
      <c r="AD68" s="9"/>
      <c r="AE68" s="9"/>
    </row>
    <row r="69" spans="1:31" x14ac:dyDescent="0.2">
      <c r="A69" s="49" t="str">
        <f t="shared" si="39"/>
        <v>Spencer Friend</v>
      </c>
      <c r="B69" s="9"/>
      <c r="C69" s="9"/>
      <c r="D69" s="9"/>
      <c r="E69" s="9"/>
      <c r="F69" s="25" t="str">
        <f t="shared" ref="F69:W69" si="45">IF(ISNUMBER(F13),IF((F13-F$5)&lt;=-2,8,IF((F13-F$5)=-1,4,IF((F13-F$5)=0,2,IF((F13-F$5)=1,1,IF((F13-F$5)=2,0,-1))))),"")</f>
        <v/>
      </c>
      <c r="G69" s="25" t="str">
        <f t="shared" si="45"/>
        <v/>
      </c>
      <c r="H69" s="25" t="str">
        <f t="shared" si="45"/>
        <v/>
      </c>
      <c r="I69" s="25" t="str">
        <f t="shared" si="45"/>
        <v/>
      </c>
      <c r="J69" s="25" t="str">
        <f t="shared" si="45"/>
        <v/>
      </c>
      <c r="K69" s="25" t="str">
        <f t="shared" si="45"/>
        <v/>
      </c>
      <c r="L69" s="25" t="str">
        <f t="shared" si="45"/>
        <v/>
      </c>
      <c r="M69" s="25" t="str">
        <f t="shared" si="45"/>
        <v/>
      </c>
      <c r="N69" s="25" t="str">
        <f t="shared" si="45"/>
        <v/>
      </c>
      <c r="O69" s="25" t="str">
        <f t="shared" si="45"/>
        <v/>
      </c>
      <c r="P69" s="25" t="str">
        <f t="shared" si="45"/>
        <v/>
      </c>
      <c r="Q69" s="25" t="str">
        <f t="shared" si="45"/>
        <v/>
      </c>
      <c r="R69" s="25" t="str">
        <f t="shared" si="45"/>
        <v/>
      </c>
      <c r="S69" s="25" t="str">
        <f t="shared" si="45"/>
        <v/>
      </c>
      <c r="T69" s="25" t="str">
        <f t="shared" si="45"/>
        <v/>
      </c>
      <c r="U69" s="25" t="str">
        <f t="shared" si="45"/>
        <v/>
      </c>
      <c r="V69" s="25" t="str">
        <f t="shared" si="45"/>
        <v/>
      </c>
      <c r="W69" s="25" t="str">
        <f t="shared" si="45"/>
        <v/>
      </c>
      <c r="X69" s="9"/>
      <c r="Y69" s="9"/>
      <c r="Z69" s="9"/>
      <c r="AA69" s="9"/>
      <c r="AB69" s="9"/>
      <c r="AC69" s="9"/>
      <c r="AD69" s="9"/>
      <c r="AE69" s="9"/>
    </row>
    <row r="70" spans="1:31" x14ac:dyDescent="0.2">
      <c r="A70" s="49" t="str">
        <f t="shared" si="39"/>
        <v>Ben Young</v>
      </c>
      <c r="B70" s="9"/>
      <c r="C70" s="9"/>
      <c r="D70" s="9"/>
      <c r="E70" s="9"/>
      <c r="F70" s="25" t="str">
        <f t="shared" ref="F70:W70" si="46">IF(ISNUMBER(F14),IF((F14-F$5)&lt;=-2,8,IF((F14-F$5)=-1,4,IF((F14-F$5)=0,2,IF((F14-F$5)=1,1,IF((F14-F$5)=2,0,-1))))),"")</f>
        <v/>
      </c>
      <c r="G70" s="25" t="str">
        <f t="shared" si="46"/>
        <v/>
      </c>
      <c r="H70" s="25" t="str">
        <f t="shared" si="46"/>
        <v/>
      </c>
      <c r="I70" s="25" t="str">
        <f t="shared" si="46"/>
        <v/>
      </c>
      <c r="J70" s="25" t="str">
        <f t="shared" si="46"/>
        <v/>
      </c>
      <c r="K70" s="25" t="str">
        <f t="shared" si="46"/>
        <v/>
      </c>
      <c r="L70" s="25" t="str">
        <f t="shared" si="46"/>
        <v/>
      </c>
      <c r="M70" s="25" t="str">
        <f t="shared" si="46"/>
        <v/>
      </c>
      <c r="N70" s="25" t="str">
        <f t="shared" si="46"/>
        <v/>
      </c>
      <c r="O70" s="25" t="str">
        <f t="shared" si="46"/>
        <v/>
      </c>
      <c r="P70" s="25" t="str">
        <f t="shared" si="46"/>
        <v/>
      </c>
      <c r="Q70" s="25" t="str">
        <f t="shared" si="46"/>
        <v/>
      </c>
      <c r="R70" s="25" t="str">
        <f t="shared" si="46"/>
        <v/>
      </c>
      <c r="S70" s="25" t="str">
        <f t="shared" si="46"/>
        <v/>
      </c>
      <c r="T70" s="25" t="str">
        <f t="shared" si="46"/>
        <v/>
      </c>
      <c r="U70" s="25" t="str">
        <f t="shared" si="46"/>
        <v/>
      </c>
      <c r="V70" s="25" t="str">
        <f t="shared" si="46"/>
        <v/>
      </c>
      <c r="W70" s="25" t="str">
        <f t="shared" si="46"/>
        <v/>
      </c>
      <c r="X70" s="9"/>
      <c r="Y70" s="9"/>
      <c r="Z70" s="9"/>
      <c r="AA70" s="9"/>
      <c r="AB70" s="9"/>
      <c r="AC70" s="9"/>
      <c r="AD70" s="9"/>
      <c r="AE70" s="9"/>
    </row>
    <row r="71" spans="1:31" x14ac:dyDescent="0.2">
      <c r="A71" s="49" t="str">
        <f t="shared" si="39"/>
        <v>Justin Conrad</v>
      </c>
      <c r="B71" s="9"/>
      <c r="C71" s="9"/>
      <c r="D71" s="9"/>
      <c r="E71" s="9"/>
      <c r="F71" s="25" t="str">
        <f t="shared" ref="F71:W71" si="47">IF(ISNUMBER(F15),IF((F15-F$5)&lt;=-2,8,IF((F15-F$5)=-1,4,IF((F15-F$5)=0,2,IF((F15-F$5)=1,1,IF((F15-F$5)=2,0,-1))))),"")</f>
        <v/>
      </c>
      <c r="G71" s="25" t="str">
        <f t="shared" si="47"/>
        <v/>
      </c>
      <c r="H71" s="25" t="str">
        <f t="shared" si="47"/>
        <v/>
      </c>
      <c r="I71" s="25" t="str">
        <f t="shared" si="47"/>
        <v/>
      </c>
      <c r="J71" s="25" t="str">
        <f t="shared" si="47"/>
        <v/>
      </c>
      <c r="K71" s="25" t="str">
        <f t="shared" si="47"/>
        <v/>
      </c>
      <c r="L71" s="25" t="str">
        <f t="shared" si="47"/>
        <v/>
      </c>
      <c r="M71" s="25" t="str">
        <f t="shared" si="47"/>
        <v/>
      </c>
      <c r="N71" s="25" t="str">
        <f t="shared" si="47"/>
        <v/>
      </c>
      <c r="O71" s="25" t="str">
        <f t="shared" si="47"/>
        <v/>
      </c>
      <c r="P71" s="25" t="str">
        <f t="shared" si="47"/>
        <v/>
      </c>
      <c r="Q71" s="25" t="str">
        <f t="shared" si="47"/>
        <v/>
      </c>
      <c r="R71" s="25" t="str">
        <f t="shared" si="47"/>
        <v/>
      </c>
      <c r="S71" s="25" t="str">
        <f t="shared" si="47"/>
        <v/>
      </c>
      <c r="T71" s="25" t="str">
        <f t="shared" si="47"/>
        <v/>
      </c>
      <c r="U71" s="25" t="str">
        <f t="shared" si="47"/>
        <v/>
      </c>
      <c r="V71" s="25" t="str">
        <f t="shared" si="47"/>
        <v/>
      </c>
      <c r="W71" s="25" t="str">
        <f t="shared" si="47"/>
        <v/>
      </c>
      <c r="X71" s="9"/>
      <c r="Y71" s="9"/>
      <c r="Z71" s="9"/>
      <c r="AA71" s="9"/>
      <c r="AB71" s="9"/>
      <c r="AC71" s="9"/>
      <c r="AD71" s="9"/>
      <c r="AE71" s="9"/>
    </row>
    <row r="72" spans="1:31" x14ac:dyDescent="0.2">
      <c r="A72" s="49" t="str">
        <f t="shared" si="39"/>
        <v>Shawn McMaster</v>
      </c>
      <c r="B72" s="9"/>
      <c r="C72" s="9"/>
      <c r="D72" s="9"/>
      <c r="E72" s="9"/>
      <c r="F72" s="25" t="str">
        <f t="shared" ref="F72:W72" si="48">IF(ISNUMBER(F16),IF((F16-F$5)&lt;=-2,8,IF((F16-F$5)=-1,4,IF((F16-F$5)=0,2,IF((F16-F$5)=1,1,IF((F16-F$5)=2,0,-1))))),"")</f>
        <v/>
      </c>
      <c r="G72" s="25" t="str">
        <f t="shared" si="48"/>
        <v/>
      </c>
      <c r="H72" s="25" t="str">
        <f t="shared" si="48"/>
        <v/>
      </c>
      <c r="I72" s="25" t="str">
        <f t="shared" si="48"/>
        <v/>
      </c>
      <c r="J72" s="25" t="str">
        <f t="shared" si="48"/>
        <v/>
      </c>
      <c r="K72" s="25" t="str">
        <f t="shared" si="48"/>
        <v/>
      </c>
      <c r="L72" s="25" t="str">
        <f t="shared" si="48"/>
        <v/>
      </c>
      <c r="M72" s="25" t="str">
        <f t="shared" si="48"/>
        <v/>
      </c>
      <c r="N72" s="25" t="str">
        <f t="shared" si="48"/>
        <v/>
      </c>
      <c r="O72" s="25" t="str">
        <f t="shared" si="48"/>
        <v/>
      </c>
      <c r="P72" s="25" t="str">
        <f t="shared" si="48"/>
        <v/>
      </c>
      <c r="Q72" s="25" t="str">
        <f t="shared" si="48"/>
        <v/>
      </c>
      <c r="R72" s="25" t="str">
        <f t="shared" si="48"/>
        <v/>
      </c>
      <c r="S72" s="25" t="str">
        <f t="shared" si="48"/>
        <v/>
      </c>
      <c r="T72" s="25" t="str">
        <f t="shared" si="48"/>
        <v/>
      </c>
      <c r="U72" s="25" t="str">
        <f t="shared" si="48"/>
        <v/>
      </c>
      <c r="V72" s="25" t="str">
        <f t="shared" si="48"/>
        <v/>
      </c>
      <c r="W72" s="25" t="str">
        <f t="shared" si="48"/>
        <v/>
      </c>
      <c r="X72" s="9"/>
      <c r="Y72" s="9"/>
      <c r="Z72" s="9"/>
      <c r="AA72" s="9"/>
      <c r="AB72" s="9"/>
      <c r="AC72" s="9"/>
      <c r="AD72" s="9"/>
      <c r="AE72" s="9"/>
    </row>
    <row r="73" spans="1:31" x14ac:dyDescent="0.2">
      <c r="A73" s="49" t="str">
        <f t="shared" si="39"/>
        <v>Ian Dempsey</v>
      </c>
      <c r="B73" s="9"/>
      <c r="C73" s="9"/>
      <c r="D73" s="9"/>
      <c r="E73" s="9"/>
      <c r="F73" s="25" t="str">
        <f t="shared" ref="F73:W73" si="49">IF(ISNUMBER(F17),IF((F17-F$5)&lt;=-2,8,IF((F17-F$5)=-1,4,IF((F17-F$5)=0,2,IF((F17-F$5)=1,1,IF((F17-F$5)=2,0,-1))))),"")</f>
        <v/>
      </c>
      <c r="G73" s="25" t="str">
        <f t="shared" si="49"/>
        <v/>
      </c>
      <c r="H73" s="25" t="str">
        <f t="shared" si="49"/>
        <v/>
      </c>
      <c r="I73" s="25" t="str">
        <f t="shared" si="49"/>
        <v/>
      </c>
      <c r="J73" s="25" t="str">
        <f t="shared" si="49"/>
        <v/>
      </c>
      <c r="K73" s="25" t="str">
        <f t="shared" si="49"/>
        <v/>
      </c>
      <c r="L73" s="25" t="str">
        <f t="shared" si="49"/>
        <v/>
      </c>
      <c r="M73" s="25" t="str">
        <f t="shared" si="49"/>
        <v/>
      </c>
      <c r="N73" s="25" t="str">
        <f t="shared" si="49"/>
        <v/>
      </c>
      <c r="O73" s="25" t="str">
        <f t="shared" si="49"/>
        <v/>
      </c>
      <c r="P73" s="25" t="str">
        <f t="shared" si="49"/>
        <v/>
      </c>
      <c r="Q73" s="25" t="str">
        <f t="shared" si="49"/>
        <v/>
      </c>
      <c r="R73" s="25" t="str">
        <f t="shared" si="49"/>
        <v/>
      </c>
      <c r="S73" s="25" t="str">
        <f t="shared" si="49"/>
        <v/>
      </c>
      <c r="T73" s="25" t="str">
        <f t="shared" si="49"/>
        <v/>
      </c>
      <c r="U73" s="25" t="str">
        <f t="shared" si="49"/>
        <v/>
      </c>
      <c r="V73" s="25" t="str">
        <f t="shared" si="49"/>
        <v/>
      </c>
      <c r="W73" s="25" t="str">
        <f t="shared" si="49"/>
        <v/>
      </c>
      <c r="X73" s="9"/>
      <c r="Y73" s="9"/>
      <c r="Z73" s="9"/>
      <c r="AA73" s="9"/>
      <c r="AB73" s="9"/>
      <c r="AC73" s="9"/>
      <c r="AD73" s="9"/>
      <c r="AE73" s="9"/>
    </row>
    <row r="74" spans="1:31" x14ac:dyDescent="0.2">
      <c r="A74" s="49" t="str">
        <f t="shared" si="39"/>
        <v>Nick Roy</v>
      </c>
      <c r="B74" s="9"/>
      <c r="C74" s="9"/>
      <c r="D74" s="9"/>
      <c r="E74" s="9"/>
      <c r="F74" s="25" t="str">
        <f t="shared" ref="F74:W74" si="50">IF(ISNUMBER(F18),IF((F18-F$5)&lt;=-2,8,IF((F18-F$5)=-1,4,IF((F18-F$5)=0,2,IF((F18-F$5)=1,1,IF((F18-F$5)=2,0,-1))))),"")</f>
        <v/>
      </c>
      <c r="G74" s="25" t="str">
        <f t="shared" si="50"/>
        <v/>
      </c>
      <c r="H74" s="25" t="str">
        <f t="shared" si="50"/>
        <v/>
      </c>
      <c r="I74" s="25" t="str">
        <f t="shared" si="50"/>
        <v/>
      </c>
      <c r="J74" s="25" t="str">
        <f t="shared" si="50"/>
        <v/>
      </c>
      <c r="K74" s="25" t="str">
        <f t="shared" si="50"/>
        <v/>
      </c>
      <c r="L74" s="25" t="str">
        <f t="shared" si="50"/>
        <v/>
      </c>
      <c r="M74" s="25" t="str">
        <f t="shared" si="50"/>
        <v/>
      </c>
      <c r="N74" s="25" t="str">
        <f t="shared" si="50"/>
        <v/>
      </c>
      <c r="O74" s="25" t="str">
        <f t="shared" si="50"/>
        <v/>
      </c>
      <c r="P74" s="25" t="str">
        <f t="shared" si="50"/>
        <v/>
      </c>
      <c r="Q74" s="25" t="str">
        <f t="shared" si="50"/>
        <v/>
      </c>
      <c r="R74" s="25" t="str">
        <f t="shared" si="50"/>
        <v/>
      </c>
      <c r="S74" s="25" t="str">
        <f t="shared" si="50"/>
        <v/>
      </c>
      <c r="T74" s="25" t="str">
        <f t="shared" si="50"/>
        <v/>
      </c>
      <c r="U74" s="25" t="str">
        <f t="shared" si="50"/>
        <v/>
      </c>
      <c r="V74" s="25" t="str">
        <f t="shared" si="50"/>
        <v/>
      </c>
      <c r="W74" s="25" t="str">
        <f t="shared" si="50"/>
        <v/>
      </c>
      <c r="X74" s="9"/>
      <c r="Y74" s="9"/>
      <c r="Z74" s="9"/>
      <c r="AA74" s="9"/>
      <c r="AB74" s="9"/>
      <c r="AC74" s="9"/>
      <c r="AD74" s="9"/>
      <c r="AE74" s="9"/>
    </row>
    <row r="75" spans="1:31" x14ac:dyDescent="0.2">
      <c r="A75" s="49" t="str">
        <f t="shared" si="39"/>
        <v>Henry Holst</v>
      </c>
      <c r="B75" s="9"/>
      <c r="C75" s="9"/>
      <c r="D75" s="9"/>
      <c r="E75" s="9"/>
      <c r="F75" s="25" t="str">
        <f t="shared" ref="F75:W75" si="51">IF(ISNUMBER(F19),IF((F19-F$5)&lt;=-2,8,IF((F19-F$5)=-1,4,IF((F19-F$5)=0,2,IF((F19-F$5)=1,1,IF((F19-F$5)=2,0,-1))))),"")</f>
        <v/>
      </c>
      <c r="G75" s="25" t="str">
        <f t="shared" si="51"/>
        <v/>
      </c>
      <c r="H75" s="25" t="str">
        <f t="shared" si="51"/>
        <v/>
      </c>
      <c r="I75" s="25" t="str">
        <f t="shared" si="51"/>
        <v/>
      </c>
      <c r="J75" s="25" t="str">
        <f t="shared" si="51"/>
        <v/>
      </c>
      <c r="K75" s="25" t="str">
        <f t="shared" si="51"/>
        <v/>
      </c>
      <c r="L75" s="25" t="str">
        <f t="shared" si="51"/>
        <v/>
      </c>
      <c r="M75" s="25" t="str">
        <f t="shared" si="51"/>
        <v/>
      </c>
      <c r="N75" s="25" t="str">
        <f t="shared" si="51"/>
        <v/>
      </c>
      <c r="O75" s="25" t="str">
        <f t="shared" si="51"/>
        <v/>
      </c>
      <c r="P75" s="25" t="str">
        <f t="shared" si="51"/>
        <v/>
      </c>
      <c r="Q75" s="25" t="str">
        <f t="shared" si="51"/>
        <v/>
      </c>
      <c r="R75" s="25" t="str">
        <f t="shared" si="51"/>
        <v/>
      </c>
      <c r="S75" s="25" t="str">
        <f t="shared" si="51"/>
        <v/>
      </c>
      <c r="T75" s="25" t="str">
        <f t="shared" si="51"/>
        <v/>
      </c>
      <c r="U75" s="25" t="str">
        <f t="shared" si="51"/>
        <v/>
      </c>
      <c r="V75" s="25" t="str">
        <f t="shared" si="51"/>
        <v/>
      </c>
      <c r="W75" s="25" t="str">
        <f t="shared" si="51"/>
        <v/>
      </c>
      <c r="X75" s="9"/>
      <c r="Y75" s="9"/>
      <c r="Z75" s="9"/>
      <c r="AA75" s="9"/>
      <c r="AB75" s="9"/>
      <c r="AC75" s="9"/>
      <c r="AD75" s="9"/>
      <c r="AE75" s="9"/>
    </row>
    <row r="76" spans="1:31" x14ac:dyDescent="0.2">
      <c r="A76" s="49" t="str">
        <f t="shared" si="39"/>
        <v>Chad Stone</v>
      </c>
      <c r="B76" s="9"/>
      <c r="C76" s="9"/>
      <c r="D76" s="9"/>
      <c r="E76" s="9"/>
      <c r="F76" s="25" t="str">
        <f t="shared" ref="F76:W76" si="52">IF(ISNUMBER(F20),IF((F20-F$5)&lt;=-2,8,IF((F20-F$5)=-1,4,IF((F20-F$5)=0,2,IF((F20-F$5)=1,1,IF((F20-F$5)=2,0,-1))))),"")</f>
        <v/>
      </c>
      <c r="G76" s="25" t="str">
        <f t="shared" si="52"/>
        <v/>
      </c>
      <c r="H76" s="25" t="str">
        <f t="shared" si="52"/>
        <v/>
      </c>
      <c r="I76" s="25" t="str">
        <f t="shared" si="52"/>
        <v/>
      </c>
      <c r="J76" s="25" t="str">
        <f t="shared" si="52"/>
        <v/>
      </c>
      <c r="K76" s="25" t="str">
        <f t="shared" si="52"/>
        <v/>
      </c>
      <c r="L76" s="25" t="str">
        <f t="shared" si="52"/>
        <v/>
      </c>
      <c r="M76" s="25" t="str">
        <f t="shared" si="52"/>
        <v/>
      </c>
      <c r="N76" s="25" t="str">
        <f t="shared" si="52"/>
        <v/>
      </c>
      <c r="O76" s="25" t="str">
        <f t="shared" si="52"/>
        <v/>
      </c>
      <c r="P76" s="25" t="str">
        <f t="shared" si="52"/>
        <v/>
      </c>
      <c r="Q76" s="25" t="str">
        <f t="shared" si="52"/>
        <v/>
      </c>
      <c r="R76" s="25" t="str">
        <f t="shared" si="52"/>
        <v/>
      </c>
      <c r="S76" s="25" t="str">
        <f t="shared" si="52"/>
        <v/>
      </c>
      <c r="T76" s="25" t="str">
        <f t="shared" si="52"/>
        <v/>
      </c>
      <c r="U76" s="25" t="str">
        <f t="shared" si="52"/>
        <v/>
      </c>
      <c r="V76" s="25" t="str">
        <f t="shared" si="52"/>
        <v/>
      </c>
      <c r="W76" s="25" t="str">
        <f t="shared" si="52"/>
        <v/>
      </c>
      <c r="X76" s="9"/>
      <c r="Y76" s="9"/>
      <c r="Z76" s="9"/>
      <c r="AA76" s="9"/>
      <c r="AB76" s="9"/>
      <c r="AC76" s="9"/>
      <c r="AD76" s="9"/>
      <c r="AE76" s="9"/>
    </row>
    <row r="77" spans="1:31" x14ac:dyDescent="0.2">
      <c r="A77" s="49" t="str">
        <f t="shared" si="39"/>
        <v>Tom Devine</v>
      </c>
      <c r="B77" s="9"/>
      <c r="C77" s="9"/>
      <c r="D77" s="9"/>
      <c r="E77" s="9"/>
      <c r="F77" s="25" t="str">
        <f t="shared" ref="F77:W77" si="53">IF(ISNUMBER(F21),IF((F21-F$5)&lt;=-2,8,IF((F21-F$5)=-1,4,IF((F21-F$5)=0,2,IF((F21-F$5)=1,1,IF((F21-F$5)=2,0,-1))))),"")</f>
        <v/>
      </c>
      <c r="G77" s="25" t="str">
        <f t="shared" si="53"/>
        <v/>
      </c>
      <c r="H77" s="25" t="str">
        <f t="shared" si="53"/>
        <v/>
      </c>
      <c r="I77" s="25" t="str">
        <f t="shared" si="53"/>
        <v/>
      </c>
      <c r="J77" s="25" t="str">
        <f t="shared" si="53"/>
        <v/>
      </c>
      <c r="K77" s="25" t="str">
        <f t="shared" si="53"/>
        <v/>
      </c>
      <c r="L77" s="25" t="str">
        <f t="shared" si="53"/>
        <v/>
      </c>
      <c r="M77" s="25" t="str">
        <f t="shared" si="53"/>
        <v/>
      </c>
      <c r="N77" s="25" t="str">
        <f t="shared" si="53"/>
        <v/>
      </c>
      <c r="O77" s="25" t="str">
        <f t="shared" si="53"/>
        <v/>
      </c>
      <c r="P77" s="25" t="str">
        <f t="shared" si="53"/>
        <v/>
      </c>
      <c r="Q77" s="25" t="str">
        <f t="shared" si="53"/>
        <v/>
      </c>
      <c r="R77" s="25" t="str">
        <f t="shared" si="53"/>
        <v/>
      </c>
      <c r="S77" s="25" t="str">
        <f t="shared" si="53"/>
        <v/>
      </c>
      <c r="T77" s="25" t="str">
        <f t="shared" si="53"/>
        <v/>
      </c>
      <c r="U77" s="25" t="str">
        <f t="shared" si="53"/>
        <v/>
      </c>
      <c r="V77" s="25" t="str">
        <f t="shared" si="53"/>
        <v/>
      </c>
      <c r="W77" s="25" t="str">
        <f t="shared" si="53"/>
        <v/>
      </c>
      <c r="X77" s="9"/>
      <c r="Y77" s="9"/>
      <c r="Z77" s="9"/>
      <c r="AA77" s="9"/>
      <c r="AB77" s="9"/>
      <c r="AC77" s="9"/>
      <c r="AD77" s="9"/>
      <c r="AE77" s="9"/>
    </row>
    <row r="78" spans="1:31" x14ac:dyDescent="0.2">
      <c r="A78" s="49" t="str">
        <f t="shared" si="39"/>
        <v>Mike Warenda</v>
      </c>
      <c r="B78" s="9"/>
      <c r="C78" s="9"/>
      <c r="D78" s="9"/>
      <c r="E78" s="9"/>
      <c r="F78" s="25" t="str">
        <f t="shared" ref="F78:W78" si="54">IF(ISNUMBER(F22),IF((F22-F$5)&lt;=-2,8,IF((F22-F$5)=-1,4,IF((F22-F$5)=0,2,IF((F22-F$5)=1,1,IF((F22-F$5)=2,0,-1))))),"")</f>
        <v/>
      </c>
      <c r="G78" s="25" t="str">
        <f t="shared" si="54"/>
        <v/>
      </c>
      <c r="H78" s="25" t="str">
        <f t="shared" si="54"/>
        <v/>
      </c>
      <c r="I78" s="25" t="str">
        <f t="shared" si="54"/>
        <v/>
      </c>
      <c r="J78" s="25" t="str">
        <f t="shared" si="54"/>
        <v/>
      </c>
      <c r="K78" s="25" t="str">
        <f t="shared" si="54"/>
        <v/>
      </c>
      <c r="L78" s="25" t="str">
        <f t="shared" si="54"/>
        <v/>
      </c>
      <c r="M78" s="25" t="str">
        <f t="shared" si="54"/>
        <v/>
      </c>
      <c r="N78" s="25" t="str">
        <f t="shared" si="54"/>
        <v/>
      </c>
      <c r="O78" s="25" t="str">
        <f t="shared" si="54"/>
        <v/>
      </c>
      <c r="P78" s="25" t="str">
        <f t="shared" si="54"/>
        <v/>
      </c>
      <c r="Q78" s="25" t="str">
        <f t="shared" si="54"/>
        <v/>
      </c>
      <c r="R78" s="25" t="str">
        <f t="shared" si="54"/>
        <v/>
      </c>
      <c r="S78" s="25" t="str">
        <f t="shared" si="54"/>
        <v/>
      </c>
      <c r="T78" s="25" t="str">
        <f t="shared" si="54"/>
        <v/>
      </c>
      <c r="U78" s="25" t="str">
        <f t="shared" si="54"/>
        <v/>
      </c>
      <c r="V78" s="25" t="str">
        <f t="shared" si="54"/>
        <v/>
      </c>
      <c r="W78" s="25" t="str">
        <f t="shared" si="54"/>
        <v/>
      </c>
      <c r="X78" s="9"/>
      <c r="Y78" s="9"/>
      <c r="Z78" s="9"/>
      <c r="AA78" s="9"/>
      <c r="AB78" s="9"/>
      <c r="AC78" s="9"/>
      <c r="AD78" s="9"/>
      <c r="AE78" s="9"/>
    </row>
    <row r="79" spans="1:31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spans="1:31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1:31" x14ac:dyDescent="0.2">
      <c r="A81" s="48" t="s">
        <v>115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1:31" x14ac:dyDescent="0.2">
      <c r="A82" s="58" t="s">
        <v>11</v>
      </c>
      <c r="B82" s="56"/>
      <c r="C82" s="56"/>
      <c r="D82" s="56"/>
      <c r="E82" s="57"/>
      <c r="F82" s="15">
        <v>1</v>
      </c>
      <c r="G82" s="15">
        <v>2</v>
      </c>
      <c r="H82" s="15">
        <v>3</v>
      </c>
      <c r="I82" s="15">
        <v>4</v>
      </c>
      <c r="J82" s="15">
        <v>5</v>
      </c>
      <c r="K82" s="15">
        <v>6</v>
      </c>
      <c r="L82" s="15">
        <v>7</v>
      </c>
      <c r="M82" s="15">
        <v>8</v>
      </c>
      <c r="N82" s="15">
        <v>9</v>
      </c>
      <c r="O82" s="15">
        <v>10</v>
      </c>
      <c r="P82" s="15">
        <v>11</v>
      </c>
      <c r="Q82" s="15">
        <v>12</v>
      </c>
      <c r="R82" s="15">
        <v>13</v>
      </c>
      <c r="S82" s="15">
        <v>14</v>
      </c>
      <c r="T82" s="15">
        <v>15</v>
      </c>
      <c r="U82" s="15">
        <v>16</v>
      </c>
      <c r="V82" s="15">
        <v>17</v>
      </c>
      <c r="W82" s="15">
        <v>18</v>
      </c>
      <c r="X82" s="15" t="s">
        <v>116</v>
      </c>
      <c r="Y82" s="15" t="s">
        <v>117</v>
      </c>
      <c r="Z82" s="15" t="s">
        <v>118</v>
      </c>
      <c r="AA82" s="9"/>
      <c r="AB82" s="9"/>
      <c r="AC82" s="9"/>
      <c r="AD82" s="9"/>
      <c r="AE82" s="9"/>
    </row>
    <row r="83" spans="1:31" x14ac:dyDescent="0.2">
      <c r="A83" s="55" t="str">
        <f>B8</f>
        <v>Team 2</v>
      </c>
      <c r="B83" s="56"/>
      <c r="C83" s="56"/>
      <c r="D83" s="56"/>
      <c r="E83" s="57"/>
      <c r="F83" s="12" t="str">
        <f t="shared" ref="F83:W83" si="55">IF(COUNT(F46:F48)&lt;2,"",SMALL(F46:F48,1)+SMALL(F46:F48,2))</f>
        <v/>
      </c>
      <c r="G83" s="12" t="str">
        <f t="shared" si="55"/>
        <v/>
      </c>
      <c r="H83" s="12" t="str">
        <f t="shared" si="55"/>
        <v/>
      </c>
      <c r="I83" s="12" t="str">
        <f t="shared" si="55"/>
        <v/>
      </c>
      <c r="J83" s="12" t="str">
        <f t="shared" si="55"/>
        <v/>
      </c>
      <c r="K83" s="12" t="str">
        <f t="shared" si="55"/>
        <v/>
      </c>
      <c r="L83" s="12" t="str">
        <f t="shared" si="55"/>
        <v/>
      </c>
      <c r="M83" s="12" t="str">
        <f t="shared" si="55"/>
        <v/>
      </c>
      <c r="N83" s="12" t="str">
        <f t="shared" si="55"/>
        <v/>
      </c>
      <c r="O83" s="12" t="str">
        <f t="shared" si="55"/>
        <v/>
      </c>
      <c r="P83" s="12" t="str">
        <f t="shared" si="55"/>
        <v/>
      </c>
      <c r="Q83" s="12" t="str">
        <f t="shared" si="55"/>
        <v/>
      </c>
      <c r="R83" s="12" t="str">
        <f t="shared" si="55"/>
        <v/>
      </c>
      <c r="S83" s="12" t="str">
        <f t="shared" si="55"/>
        <v/>
      </c>
      <c r="T83" s="12" t="str">
        <f t="shared" si="55"/>
        <v/>
      </c>
      <c r="U83" s="12" t="str">
        <f t="shared" si="55"/>
        <v/>
      </c>
      <c r="V83" s="12" t="str">
        <f t="shared" si="55"/>
        <v/>
      </c>
      <c r="W83" s="12" t="str">
        <f t="shared" si="55"/>
        <v/>
      </c>
      <c r="X83" s="12" t="str">
        <f>IF(COUNT(F83:W83)&lt;18,"",SUM(F83:W83))</f>
        <v/>
      </c>
      <c r="Y83" s="12" t="str">
        <f>IF(X83="","",COUNTIF($X$83:$X$87,"&lt;"&amp;X83)+1)</f>
        <v/>
      </c>
      <c r="Z83" s="38" t="str">
        <f ca="1">IF(X83="","",AVERAGE(OFFSET(Leaderboard!$B$5,Y83-1,0,COUNTIF($X$83:$X$87,X83),1)))</f>
        <v/>
      </c>
      <c r="AA83" s="9"/>
      <c r="AB83" s="9"/>
      <c r="AC83" s="9"/>
      <c r="AD83" s="9"/>
      <c r="AE83" s="9"/>
    </row>
    <row r="84" spans="1:31" x14ac:dyDescent="0.2">
      <c r="A84" s="55" t="str">
        <f>B11</f>
        <v>Skull it and Pray</v>
      </c>
      <c r="B84" s="56"/>
      <c r="C84" s="56"/>
      <c r="D84" s="56"/>
      <c r="E84" s="57"/>
      <c r="F84" s="12" t="str">
        <f t="shared" ref="F84:W84" si="56">IF(COUNT(F49:F51)&lt;2,"",SMALL(F49:F51,1)+SMALL(F49:F51,2))</f>
        <v/>
      </c>
      <c r="G84" s="12" t="str">
        <f t="shared" si="56"/>
        <v/>
      </c>
      <c r="H84" s="12" t="str">
        <f t="shared" si="56"/>
        <v/>
      </c>
      <c r="I84" s="12" t="str">
        <f t="shared" si="56"/>
        <v/>
      </c>
      <c r="J84" s="12" t="str">
        <f t="shared" si="56"/>
        <v/>
      </c>
      <c r="K84" s="12" t="str">
        <f t="shared" si="56"/>
        <v/>
      </c>
      <c r="L84" s="12" t="str">
        <f t="shared" si="56"/>
        <v/>
      </c>
      <c r="M84" s="12" t="str">
        <f t="shared" si="56"/>
        <v/>
      </c>
      <c r="N84" s="12" t="str">
        <f t="shared" si="56"/>
        <v/>
      </c>
      <c r="O84" s="12" t="str">
        <f t="shared" si="56"/>
        <v/>
      </c>
      <c r="P84" s="12" t="str">
        <f t="shared" si="56"/>
        <v/>
      </c>
      <c r="Q84" s="12" t="str">
        <f t="shared" si="56"/>
        <v/>
      </c>
      <c r="R84" s="12" t="str">
        <f t="shared" si="56"/>
        <v/>
      </c>
      <c r="S84" s="12" t="str">
        <f t="shared" si="56"/>
        <v/>
      </c>
      <c r="T84" s="12" t="str">
        <f t="shared" si="56"/>
        <v/>
      </c>
      <c r="U84" s="12" t="str">
        <f t="shared" si="56"/>
        <v/>
      </c>
      <c r="V84" s="12" t="str">
        <f t="shared" si="56"/>
        <v/>
      </c>
      <c r="W84" s="12" t="str">
        <f t="shared" si="56"/>
        <v/>
      </c>
      <c r="X84" s="12" t="str">
        <f>IF(COUNT(F84:W84)&lt;18,"",SUM(F84:W84))</f>
        <v/>
      </c>
      <c r="Y84" s="12" t="str">
        <f>IF(X84="","",COUNTIF($X$83:$X$87,"&lt;"&amp;X84)+1)</f>
        <v/>
      </c>
      <c r="Z84" s="38" t="str">
        <f ca="1">IF(X84="","",AVERAGE(OFFSET(Leaderboard!$B$5,Y84-1,0,COUNTIF($X$83:$X$87,X84),1)))</f>
        <v/>
      </c>
      <c r="AA84" s="9"/>
      <c r="AB84" s="9"/>
      <c r="AC84" s="9"/>
      <c r="AD84" s="9"/>
      <c r="AE84" s="9"/>
    </row>
    <row r="85" spans="1:31" x14ac:dyDescent="0.2">
      <c r="A85" s="55" t="str">
        <f>B14</f>
        <v>Team 3</v>
      </c>
      <c r="B85" s="56"/>
      <c r="C85" s="56"/>
      <c r="D85" s="56"/>
      <c r="E85" s="57"/>
      <c r="F85" s="12" t="str">
        <f t="shared" ref="F85:W85" si="57">IF(COUNT(F52:F54)&lt;2,"",SMALL(F52:F54,1)+SMALL(F52:F54,2))</f>
        <v/>
      </c>
      <c r="G85" s="12" t="str">
        <f t="shared" si="57"/>
        <v/>
      </c>
      <c r="H85" s="12" t="str">
        <f t="shared" si="57"/>
        <v/>
      </c>
      <c r="I85" s="12" t="str">
        <f t="shared" si="57"/>
        <v/>
      </c>
      <c r="J85" s="12" t="str">
        <f t="shared" si="57"/>
        <v/>
      </c>
      <c r="K85" s="12" t="str">
        <f t="shared" si="57"/>
        <v/>
      </c>
      <c r="L85" s="12" t="str">
        <f t="shared" si="57"/>
        <v/>
      </c>
      <c r="M85" s="12" t="str">
        <f t="shared" si="57"/>
        <v/>
      </c>
      <c r="N85" s="12" t="str">
        <f t="shared" si="57"/>
        <v/>
      </c>
      <c r="O85" s="12" t="str">
        <f t="shared" si="57"/>
        <v/>
      </c>
      <c r="P85" s="12" t="str">
        <f t="shared" si="57"/>
        <v/>
      </c>
      <c r="Q85" s="12" t="str">
        <f t="shared" si="57"/>
        <v/>
      </c>
      <c r="R85" s="12" t="str">
        <f t="shared" si="57"/>
        <v/>
      </c>
      <c r="S85" s="12" t="str">
        <f t="shared" si="57"/>
        <v/>
      </c>
      <c r="T85" s="12" t="str">
        <f t="shared" si="57"/>
        <v/>
      </c>
      <c r="U85" s="12" t="str">
        <f t="shared" si="57"/>
        <v/>
      </c>
      <c r="V85" s="12" t="str">
        <f t="shared" si="57"/>
        <v/>
      </c>
      <c r="W85" s="12" t="str">
        <f t="shared" si="57"/>
        <v/>
      </c>
      <c r="X85" s="12" t="str">
        <f>IF(COUNT(F85:W85)&lt;18,"",SUM(F85:W85))</f>
        <v/>
      </c>
      <c r="Y85" s="12" t="str">
        <f>IF(X85="","",COUNTIF($X$83:$X$87,"&lt;"&amp;X85)+1)</f>
        <v/>
      </c>
      <c r="Z85" s="38" t="str">
        <f ca="1">IF(X85="","",AVERAGE(OFFSET(Leaderboard!$B$5,Y85-1,0,COUNTIF($X$83:$X$87,X85),1)))</f>
        <v/>
      </c>
      <c r="AA85" s="9"/>
      <c r="AB85" s="9"/>
      <c r="AC85" s="9"/>
      <c r="AD85" s="9"/>
      <c r="AE85" s="9"/>
    </row>
    <row r="86" spans="1:31" x14ac:dyDescent="0.2">
      <c r="A86" s="55" t="str">
        <f>B17</f>
        <v>Wydom’s Woodies</v>
      </c>
      <c r="B86" s="56"/>
      <c r="C86" s="56"/>
      <c r="D86" s="56"/>
      <c r="E86" s="57"/>
      <c r="F86" s="12" t="str">
        <f t="shared" ref="F86:W86" si="58">IF(COUNT(F55:F57)&lt;2,"",SMALL(F55:F57,1)+SMALL(F55:F57,2))</f>
        <v/>
      </c>
      <c r="G86" s="12" t="str">
        <f t="shared" si="58"/>
        <v/>
      </c>
      <c r="H86" s="12" t="str">
        <f t="shared" si="58"/>
        <v/>
      </c>
      <c r="I86" s="12" t="str">
        <f t="shared" si="58"/>
        <v/>
      </c>
      <c r="J86" s="12" t="str">
        <f t="shared" si="58"/>
        <v/>
      </c>
      <c r="K86" s="12" t="str">
        <f t="shared" si="58"/>
        <v/>
      </c>
      <c r="L86" s="12" t="str">
        <f t="shared" si="58"/>
        <v/>
      </c>
      <c r="M86" s="12" t="str">
        <f t="shared" si="58"/>
        <v/>
      </c>
      <c r="N86" s="12" t="str">
        <f t="shared" si="58"/>
        <v/>
      </c>
      <c r="O86" s="12" t="str">
        <f t="shared" si="58"/>
        <v/>
      </c>
      <c r="P86" s="12" t="str">
        <f t="shared" si="58"/>
        <v/>
      </c>
      <c r="Q86" s="12" t="str">
        <f t="shared" si="58"/>
        <v/>
      </c>
      <c r="R86" s="12" t="str">
        <f t="shared" si="58"/>
        <v/>
      </c>
      <c r="S86" s="12" t="str">
        <f t="shared" si="58"/>
        <v/>
      </c>
      <c r="T86" s="12" t="str">
        <f t="shared" si="58"/>
        <v/>
      </c>
      <c r="U86" s="12" t="str">
        <f t="shared" si="58"/>
        <v/>
      </c>
      <c r="V86" s="12" t="str">
        <f t="shared" si="58"/>
        <v/>
      </c>
      <c r="W86" s="12" t="str">
        <f t="shared" si="58"/>
        <v/>
      </c>
      <c r="X86" s="12" t="str">
        <f>IF(COUNT(F86:W86)&lt;18,"",SUM(F86:W86))</f>
        <v/>
      </c>
      <c r="Y86" s="12" t="str">
        <f>IF(X86="","",COUNTIF($X$83:$X$87,"&lt;"&amp;X86)+1)</f>
        <v/>
      </c>
      <c r="Z86" s="38" t="str">
        <f ca="1">IF(X86="","",AVERAGE(OFFSET(Leaderboard!$B$5,Y86-1,0,COUNTIF($X$83:$X$87,X86),1)))</f>
        <v/>
      </c>
      <c r="AA86" s="9"/>
      <c r="AB86" s="9"/>
      <c r="AC86" s="9"/>
      <c r="AD86" s="9"/>
      <c r="AE86" s="9"/>
    </row>
    <row r="87" spans="1:31" x14ac:dyDescent="0.2">
      <c r="A87" s="55" t="str">
        <f>B20</f>
        <v>Putting Balls in the Hole</v>
      </c>
      <c r="B87" s="56"/>
      <c r="C87" s="56"/>
      <c r="D87" s="56"/>
      <c r="E87" s="57"/>
      <c r="F87" s="12" t="str">
        <f t="shared" ref="F87:W87" si="59">IF(COUNT(F58:F60)&lt;2,"",SMALL(F58:F60,1)+SMALL(F58:F60,2))</f>
        <v/>
      </c>
      <c r="G87" s="12" t="str">
        <f t="shared" si="59"/>
        <v/>
      </c>
      <c r="H87" s="12" t="str">
        <f t="shared" si="59"/>
        <v/>
      </c>
      <c r="I87" s="12" t="str">
        <f t="shared" si="59"/>
        <v/>
      </c>
      <c r="J87" s="12" t="str">
        <f t="shared" si="59"/>
        <v/>
      </c>
      <c r="K87" s="12" t="str">
        <f t="shared" si="59"/>
        <v/>
      </c>
      <c r="L87" s="12" t="str">
        <f t="shared" si="59"/>
        <v/>
      </c>
      <c r="M87" s="12" t="str">
        <f t="shared" si="59"/>
        <v/>
      </c>
      <c r="N87" s="12" t="str">
        <f t="shared" si="59"/>
        <v/>
      </c>
      <c r="O87" s="12" t="str">
        <f t="shared" si="59"/>
        <v/>
      </c>
      <c r="P87" s="12" t="str">
        <f t="shared" si="59"/>
        <v/>
      </c>
      <c r="Q87" s="12" t="str">
        <f t="shared" si="59"/>
        <v/>
      </c>
      <c r="R87" s="12" t="str">
        <f t="shared" si="59"/>
        <v/>
      </c>
      <c r="S87" s="12" t="str">
        <f t="shared" si="59"/>
        <v/>
      </c>
      <c r="T87" s="12" t="str">
        <f t="shared" si="59"/>
        <v/>
      </c>
      <c r="U87" s="12" t="str">
        <f t="shared" si="59"/>
        <v/>
      </c>
      <c r="V87" s="12" t="str">
        <f t="shared" si="59"/>
        <v/>
      </c>
      <c r="W87" s="12" t="str">
        <f t="shared" si="59"/>
        <v/>
      </c>
      <c r="X87" s="12" t="str">
        <f>IF(COUNT(F87:W87)&lt;18,"",SUM(F87:W87))</f>
        <v/>
      </c>
      <c r="Y87" s="12" t="str">
        <f>IF(X87="","",COUNTIF($X$83:$X$87,"&lt;"&amp;X87)+1)</f>
        <v/>
      </c>
      <c r="Z87" s="38" t="str">
        <f ca="1">IF(X87="","",AVERAGE(OFFSET(Leaderboard!$B$5,Y87-1,0,COUNTIF($X$83:$X$87,X87),1)))</f>
        <v/>
      </c>
      <c r="AA87" s="9"/>
      <c r="AB87" s="9"/>
      <c r="AC87" s="9"/>
      <c r="AD87" s="9"/>
      <c r="AE87" s="9"/>
    </row>
    <row r="88" spans="1:31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1" x14ac:dyDescent="0.2">
      <c r="A89" s="50" t="s">
        <v>119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1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1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1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1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1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</sheetData>
  <mergeCells count="8">
    <mergeCell ref="A83:E83"/>
    <mergeCell ref="A87:E87"/>
    <mergeCell ref="A1:AC1"/>
    <mergeCell ref="A86:E86"/>
    <mergeCell ref="A82:E82"/>
    <mergeCell ref="A85:E85"/>
    <mergeCell ref="A84:E84"/>
    <mergeCell ref="A2:AC2"/>
  </mergeCells>
  <conditionalFormatting sqref="F8:W22">
    <cfRule type="expression" dxfId="5" priority="1">
      <formula>AND(ISNUMBER(F8),F8&lt;=F$5-1)</formula>
    </cfRule>
    <cfRule type="expression" dxfId="4" priority="2">
      <formula>AND(ISNUMBER(F8),F8&gt;=F$5+2)</formula>
    </cfRule>
  </conditionalFormatting>
  <dataValidations count="18">
    <dataValidation type="whole" showErrorMessage="1" errorTitle="Check that score" error="Hole 1 is a par 5. Enter a score from 1 to 15." sqref="F8:F22" xr:uid="{00000000-0002-0000-0300-000000000000}">
      <formula1>1</formula1>
      <formula2>15</formula2>
    </dataValidation>
    <dataValidation type="whole" showErrorMessage="1" errorTitle="Check that score" error="Hole 2 is a par 4. Enter a score from 1 to 12." sqref="G8:G22" xr:uid="{00000000-0002-0000-0300-000001000000}">
      <formula1>1</formula1>
      <formula2>12</formula2>
    </dataValidation>
    <dataValidation type="whole" showErrorMessage="1" errorTitle="Check that score" error="Hole 3 is a par 3. Enter a score from 1 to 9." sqref="H8:H22" xr:uid="{00000000-0002-0000-0300-000002000000}">
      <formula1>1</formula1>
      <formula2>9</formula2>
    </dataValidation>
    <dataValidation type="whole" showErrorMessage="1" errorTitle="Check that score" error="Hole 4 is a par 4. Enter a score from 1 to 12." sqref="I8:I22" xr:uid="{00000000-0002-0000-0300-000003000000}">
      <formula1>1</formula1>
      <formula2>12</formula2>
    </dataValidation>
    <dataValidation type="whole" showErrorMessage="1" errorTitle="Check that score" error="Hole 5 is a par 4. Enter a score from 1 to 12." sqref="J8:J22" xr:uid="{00000000-0002-0000-0300-000004000000}">
      <formula1>1</formula1>
      <formula2>12</formula2>
    </dataValidation>
    <dataValidation type="whole" showErrorMessage="1" errorTitle="Check that score" error="Hole 6 is a par 4. Enter a score from 1 to 12." sqref="K8:K22" xr:uid="{00000000-0002-0000-0300-000005000000}">
      <formula1>1</formula1>
      <formula2>12</formula2>
    </dataValidation>
    <dataValidation type="whole" showErrorMessage="1" errorTitle="Check that score" error="Hole 7 is a par 3. Enter a score from 1 to 9." sqref="L8:L22" xr:uid="{00000000-0002-0000-0300-000006000000}">
      <formula1>1</formula1>
      <formula2>9</formula2>
    </dataValidation>
    <dataValidation type="whole" showErrorMessage="1" errorTitle="Check that score" error="Hole 8 is a par 5. Enter a score from 1 to 15." sqref="M8:M22" xr:uid="{00000000-0002-0000-0300-000007000000}">
      <formula1>1</formula1>
      <formula2>15</formula2>
    </dataValidation>
    <dataValidation type="whole" showErrorMessage="1" errorTitle="Check that score" error="Hole 9 is a par 4. Enter a score from 1 to 12." sqref="N8:N22" xr:uid="{00000000-0002-0000-0300-000008000000}">
      <formula1>1</formula1>
      <formula2>12</formula2>
    </dataValidation>
    <dataValidation type="whole" showErrorMessage="1" errorTitle="Check that score" error="Hole 10 is a par 4. Enter a score from 1 to 12." sqref="O8:O22" xr:uid="{00000000-0002-0000-0300-000009000000}">
      <formula1>1</formula1>
      <formula2>12</formula2>
    </dataValidation>
    <dataValidation type="whole" showErrorMessage="1" errorTitle="Check that score" error="Hole 11 is a par 4. Enter a score from 1 to 12." sqref="P8:P22" xr:uid="{00000000-0002-0000-0300-00000A000000}">
      <formula1>1</formula1>
      <formula2>12</formula2>
    </dataValidation>
    <dataValidation type="whole" showErrorMessage="1" errorTitle="Check that score" error="Hole 12 is a par 3. Enter a score from 1 to 9." sqref="Q8:Q22" xr:uid="{00000000-0002-0000-0300-00000B000000}">
      <formula1>1</formula1>
      <formula2>9</formula2>
    </dataValidation>
    <dataValidation type="whole" showErrorMessage="1" errorTitle="Check that score" error="Hole 13 is a par 4. Enter a score from 1 to 12." sqref="R8:R22" xr:uid="{00000000-0002-0000-0300-00000C000000}">
      <formula1>1</formula1>
      <formula2>12</formula2>
    </dataValidation>
    <dataValidation type="whole" showErrorMessage="1" errorTitle="Check that score" error="Hole 14 is a par 5. Enter a score from 1 to 15." sqref="S8:S22" xr:uid="{00000000-0002-0000-0300-00000D000000}">
      <formula1>1</formula1>
      <formula2>15</formula2>
    </dataValidation>
    <dataValidation type="whole" showErrorMessage="1" errorTitle="Check that score" error="Hole 15 is a par 3. Enter a score from 1 to 9." sqref="T8:T22" xr:uid="{00000000-0002-0000-0300-00000E000000}">
      <formula1>1</formula1>
      <formula2>9</formula2>
    </dataValidation>
    <dataValidation type="whole" showErrorMessage="1" errorTitle="Check that score" error="Hole 16 is a par 4. Enter a score from 1 to 12." sqref="U8:U22" xr:uid="{00000000-0002-0000-0300-00000F000000}">
      <formula1>1</formula1>
      <formula2>12</formula2>
    </dataValidation>
    <dataValidation type="whole" showErrorMessage="1" errorTitle="Check that score" error="Hole 17 is a par 5. Enter a score from 1 to 15." sqref="V8:V22" xr:uid="{00000000-0002-0000-0300-000010000000}">
      <formula1>1</formula1>
      <formula2>15</formula2>
    </dataValidation>
    <dataValidation type="whole" showErrorMessage="1" errorTitle="Check that score" error="Hole 18 is a par 4. Enter a score from 1 to 12." sqref="W8:W22" xr:uid="{00000000-0002-0000-0300-000011000000}">
      <formula1>1</formula1>
      <formula2>12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E5E3F"/>
  </sheetPr>
  <dimension ref="A1:AE94"/>
  <sheetViews>
    <sheetView showGridLines="0" zoomScale="110" workbookViewId="0">
      <pane xSplit="5" ySplit="7" topLeftCell="F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7" customWidth="1"/>
    <col min="3" max="3" width="5" customWidth="1"/>
    <col min="4" max="4" width="7" customWidth="1"/>
    <col min="5" max="5" width="15" customWidth="1"/>
    <col min="6" max="23" width="5.1640625" customWidth="1"/>
    <col min="24" max="26" width="7" customWidth="1"/>
    <col min="27" max="27" width="9" customWidth="1"/>
    <col min="28" max="28" width="10" customWidth="1"/>
    <col min="29" max="31" width="8" customWidth="1"/>
  </cols>
  <sheetData>
    <row r="1" spans="1:31" ht="26" customHeight="1" x14ac:dyDescent="0.2">
      <c r="A1" s="52" t="s">
        <v>120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9"/>
      <c r="AE1" s="9"/>
    </row>
    <row r="2" spans="1:31" x14ac:dyDescent="0.2">
      <c r="A2" s="54" t="s">
        <v>121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9"/>
      <c r="AE2" s="9"/>
    </row>
    <row r="3" spans="1:3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2">
      <c r="A4" s="9"/>
      <c r="B4" s="9"/>
      <c r="C4" s="9"/>
      <c r="D4" s="9"/>
      <c r="E4" s="32" t="s">
        <v>78</v>
      </c>
      <c r="F4" s="15">
        <v>1</v>
      </c>
      <c r="G4" s="15">
        <v>2</v>
      </c>
      <c r="H4" s="15">
        <v>3</v>
      </c>
      <c r="I4" s="15">
        <v>4</v>
      </c>
      <c r="J4" s="15">
        <v>5</v>
      </c>
      <c r="K4" s="15">
        <v>6</v>
      </c>
      <c r="L4" s="15">
        <v>7</v>
      </c>
      <c r="M4" s="15">
        <v>8</v>
      </c>
      <c r="N4" s="15">
        <v>9</v>
      </c>
      <c r="O4" s="15">
        <v>10</v>
      </c>
      <c r="P4" s="15">
        <v>11</v>
      </c>
      <c r="Q4" s="15">
        <v>12</v>
      </c>
      <c r="R4" s="15">
        <v>13</v>
      </c>
      <c r="S4" s="15">
        <v>14</v>
      </c>
      <c r="T4" s="15">
        <v>15</v>
      </c>
      <c r="U4" s="15">
        <v>16</v>
      </c>
      <c r="V4" s="15">
        <v>17</v>
      </c>
      <c r="W4" s="15">
        <v>18</v>
      </c>
      <c r="X4" s="9"/>
      <c r="Y4" s="9"/>
      <c r="Z4" s="9"/>
      <c r="AA4" s="9"/>
      <c r="AB4" s="9"/>
      <c r="AC4" s="9"/>
      <c r="AD4" s="9"/>
      <c r="AE4" s="9"/>
    </row>
    <row r="5" spans="1:31" x14ac:dyDescent="0.2">
      <c r="A5" s="9"/>
      <c r="B5" s="9"/>
      <c r="C5" s="9"/>
      <c r="D5" s="9"/>
      <c r="E5" s="33" t="s">
        <v>79</v>
      </c>
      <c r="F5" s="34">
        <v>4</v>
      </c>
      <c r="G5" s="34">
        <v>3</v>
      </c>
      <c r="H5" s="34">
        <v>5</v>
      </c>
      <c r="I5" s="34">
        <v>4</v>
      </c>
      <c r="J5" s="34">
        <v>3</v>
      </c>
      <c r="K5" s="34">
        <v>4</v>
      </c>
      <c r="L5" s="34">
        <v>4</v>
      </c>
      <c r="M5" s="34">
        <v>4</v>
      </c>
      <c r="N5" s="34">
        <v>5</v>
      </c>
      <c r="O5" s="34">
        <v>5</v>
      </c>
      <c r="P5" s="34">
        <v>4</v>
      </c>
      <c r="Q5" s="34">
        <v>4</v>
      </c>
      <c r="R5" s="34">
        <v>4</v>
      </c>
      <c r="S5" s="34">
        <v>3</v>
      </c>
      <c r="T5" s="34">
        <v>5</v>
      </c>
      <c r="U5" s="34">
        <v>3</v>
      </c>
      <c r="V5" s="34">
        <v>4</v>
      </c>
      <c r="W5" s="34">
        <v>4</v>
      </c>
      <c r="X5" s="35">
        <f>SUM(F5:W5)</f>
        <v>72</v>
      </c>
      <c r="Y5" s="9"/>
      <c r="Z5" s="9"/>
      <c r="AA5" s="9"/>
      <c r="AB5" s="9"/>
      <c r="AC5" s="9"/>
      <c r="AD5" s="9"/>
      <c r="AE5" s="9"/>
    </row>
    <row r="6" spans="1:31" x14ac:dyDescent="0.2">
      <c r="A6" s="9"/>
      <c r="B6" s="9"/>
      <c r="C6" s="9"/>
      <c r="D6" s="9"/>
      <c r="E6" s="33" t="s">
        <v>80</v>
      </c>
      <c r="F6" s="34">
        <v>5</v>
      </c>
      <c r="G6" s="34">
        <v>11</v>
      </c>
      <c r="H6" s="34">
        <v>9</v>
      </c>
      <c r="I6" s="34">
        <v>15</v>
      </c>
      <c r="J6" s="34">
        <v>13</v>
      </c>
      <c r="K6" s="34">
        <v>7</v>
      </c>
      <c r="L6" s="34">
        <v>17</v>
      </c>
      <c r="M6" s="34">
        <v>1</v>
      </c>
      <c r="N6" s="34">
        <v>3</v>
      </c>
      <c r="O6" s="34">
        <v>6</v>
      </c>
      <c r="P6" s="34">
        <v>14</v>
      </c>
      <c r="Q6" s="34">
        <v>8</v>
      </c>
      <c r="R6" s="34">
        <v>2</v>
      </c>
      <c r="S6" s="34">
        <v>18</v>
      </c>
      <c r="T6" s="34">
        <v>12</v>
      </c>
      <c r="U6" s="34">
        <v>16</v>
      </c>
      <c r="V6" s="34">
        <v>10</v>
      </c>
      <c r="W6" s="34">
        <v>4</v>
      </c>
      <c r="X6" s="9"/>
      <c r="Y6" s="9"/>
      <c r="Z6" s="9"/>
      <c r="AA6" s="9"/>
      <c r="AB6" s="9"/>
      <c r="AC6" s="9"/>
      <c r="AD6" s="9"/>
      <c r="AE6" s="9"/>
    </row>
    <row r="7" spans="1:31" x14ac:dyDescent="0.2">
      <c r="A7" s="15" t="s">
        <v>18</v>
      </c>
      <c r="B7" s="15" t="s">
        <v>11</v>
      </c>
      <c r="C7" s="15" t="s">
        <v>19</v>
      </c>
      <c r="D7" s="15" t="s">
        <v>49</v>
      </c>
      <c r="E7" s="15" t="s">
        <v>81</v>
      </c>
      <c r="F7" s="15" t="s">
        <v>82</v>
      </c>
      <c r="G7" s="15" t="s">
        <v>83</v>
      </c>
      <c r="H7" s="15" t="s">
        <v>84</v>
      </c>
      <c r="I7" s="15" t="s">
        <v>85</v>
      </c>
      <c r="J7" s="15" t="s">
        <v>86</v>
      </c>
      <c r="K7" s="15" t="s">
        <v>87</v>
      </c>
      <c r="L7" s="15" t="s">
        <v>88</v>
      </c>
      <c r="M7" s="15" t="s">
        <v>89</v>
      </c>
      <c r="N7" s="15" t="s">
        <v>90</v>
      </c>
      <c r="O7" s="15" t="s">
        <v>91</v>
      </c>
      <c r="P7" s="15" t="s">
        <v>92</v>
      </c>
      <c r="Q7" s="15" t="s">
        <v>93</v>
      </c>
      <c r="R7" s="15" t="s">
        <v>94</v>
      </c>
      <c r="S7" s="15" t="s">
        <v>95</v>
      </c>
      <c r="T7" s="15" t="s">
        <v>96</v>
      </c>
      <c r="U7" s="15" t="s">
        <v>97</v>
      </c>
      <c r="V7" s="15" t="s">
        <v>98</v>
      </c>
      <c r="W7" s="15" t="s">
        <v>99</v>
      </c>
      <c r="X7" s="15" t="s">
        <v>100</v>
      </c>
      <c r="Y7" s="15" t="s">
        <v>101</v>
      </c>
      <c r="Z7" s="15" t="s">
        <v>102</v>
      </c>
      <c r="AA7" s="15" t="s">
        <v>103</v>
      </c>
      <c r="AB7" s="15" t="s">
        <v>104</v>
      </c>
      <c r="AC7" s="15" t="s">
        <v>20</v>
      </c>
      <c r="AD7" s="9"/>
      <c r="AE7" s="9"/>
    </row>
    <row r="8" spans="1:31" x14ac:dyDescent="0.2">
      <c r="A8" s="20" t="str">
        <f>Players!$A$5</f>
        <v>Frank Barta</v>
      </c>
      <c r="B8" s="21" t="str">
        <f>Players!$B$5</f>
        <v>Team 2</v>
      </c>
      <c r="C8" s="12">
        <f>Players!$C$5</f>
        <v>8</v>
      </c>
      <c r="D8" s="12">
        <f>Players!$D$5</f>
        <v>0</v>
      </c>
      <c r="E8" s="36" t="s">
        <v>122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12" t="str">
        <f t="shared" ref="X8:X22" si="0">IF(COUNT(F8:W8)=0,"",SUM(F8:W8))</f>
        <v/>
      </c>
      <c r="Y8" s="12">
        <f t="shared" ref="Y8:Y22" si="1">COUNT(F8:W8)</f>
        <v>0</v>
      </c>
      <c r="Z8" s="12" t="str">
        <f t="shared" ref="Z8:Z22" si="2">IF(COUNT(F8:W8)=0,"",SUM(F46:W46))</f>
        <v/>
      </c>
      <c r="AA8" s="12" t="str">
        <f t="shared" ref="AA8:AA22" si="3">IF(COUNT(F8:W8)=0,"",SUM(F64:W64))</f>
        <v/>
      </c>
      <c r="AB8" s="38" t="str">
        <f t="shared" ref="AB8:AB22" si="4">IF(COUNT(F8:W8)=0,"",C8+AA8)</f>
        <v/>
      </c>
      <c r="AC8" s="12">
        <f t="shared" ref="AC8:AC22" si="5">COUNTIF(F64:W64,"&gt;=4")</f>
        <v>0</v>
      </c>
      <c r="AD8" s="9"/>
      <c r="AE8" s="9"/>
    </row>
    <row r="9" spans="1:31" x14ac:dyDescent="0.2">
      <c r="A9" s="20" t="str">
        <f>Players!$A$6</f>
        <v>Marc Wydom</v>
      </c>
      <c r="B9" s="21" t="str">
        <f>Players!$B$6</f>
        <v>Team 2</v>
      </c>
      <c r="C9" s="12">
        <f>Players!$C$6</f>
        <v>16</v>
      </c>
      <c r="D9" s="12">
        <f>Players!$D$6</f>
        <v>8</v>
      </c>
      <c r="E9" s="36" t="s">
        <v>123</v>
      </c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12" t="str">
        <f t="shared" si="0"/>
        <v/>
      </c>
      <c r="Y9" s="12">
        <f t="shared" si="1"/>
        <v>0</v>
      </c>
      <c r="Z9" s="12" t="str">
        <f t="shared" si="2"/>
        <v/>
      </c>
      <c r="AA9" s="12" t="str">
        <f t="shared" si="3"/>
        <v/>
      </c>
      <c r="AB9" s="38" t="str">
        <f t="shared" si="4"/>
        <v/>
      </c>
      <c r="AC9" s="12">
        <f t="shared" si="5"/>
        <v>0</v>
      </c>
      <c r="AD9" s="9"/>
      <c r="AE9" s="9"/>
    </row>
    <row r="10" spans="1:31" x14ac:dyDescent="0.2">
      <c r="A10" s="20" t="str">
        <f>Players!$A$7</f>
        <v>Donnie Muller</v>
      </c>
      <c r="B10" s="21" t="str">
        <f>Players!$B$7</f>
        <v>Team 2</v>
      </c>
      <c r="C10" s="12">
        <f>Players!$C$7</f>
        <v>19</v>
      </c>
      <c r="D10" s="12">
        <f>Players!$D$7</f>
        <v>11</v>
      </c>
      <c r="E10" s="36" t="s">
        <v>124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12" t="str">
        <f t="shared" si="0"/>
        <v/>
      </c>
      <c r="Y10" s="12">
        <f t="shared" si="1"/>
        <v>0</v>
      </c>
      <c r="Z10" s="12" t="str">
        <f t="shared" si="2"/>
        <v/>
      </c>
      <c r="AA10" s="12" t="str">
        <f t="shared" si="3"/>
        <v/>
      </c>
      <c r="AB10" s="38" t="str">
        <f t="shared" si="4"/>
        <v/>
      </c>
      <c r="AC10" s="12">
        <f t="shared" si="5"/>
        <v>0</v>
      </c>
      <c r="AD10" s="9"/>
      <c r="AE10" s="9"/>
    </row>
    <row r="11" spans="1:31" x14ac:dyDescent="0.2">
      <c r="A11" s="39" t="str">
        <f>Players!$A$8</f>
        <v>Tommy Duncan</v>
      </c>
      <c r="B11" s="40" t="str">
        <f>Players!$B$8</f>
        <v>Skull it and Pray</v>
      </c>
      <c r="C11" s="41">
        <f>Players!$C$8</f>
        <v>24</v>
      </c>
      <c r="D11" s="41">
        <f>Players!$D$8</f>
        <v>16</v>
      </c>
      <c r="E11" s="42" t="s">
        <v>125</v>
      </c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41" t="str">
        <f t="shared" si="0"/>
        <v/>
      </c>
      <c r="Y11" s="41">
        <f t="shared" si="1"/>
        <v>0</v>
      </c>
      <c r="Z11" s="41" t="str">
        <f t="shared" si="2"/>
        <v/>
      </c>
      <c r="AA11" s="41" t="str">
        <f t="shared" si="3"/>
        <v/>
      </c>
      <c r="AB11" s="43" t="str">
        <f t="shared" si="4"/>
        <v/>
      </c>
      <c r="AC11" s="41">
        <f t="shared" si="5"/>
        <v>0</v>
      </c>
      <c r="AD11" s="9"/>
      <c r="AE11" s="9"/>
    </row>
    <row r="12" spans="1:31" x14ac:dyDescent="0.2">
      <c r="A12" s="39" t="str">
        <f>Players!$A$9</f>
        <v>Jason Kimbo</v>
      </c>
      <c r="B12" s="40" t="str">
        <f>Players!$B$9</f>
        <v>Skull it and Pray</v>
      </c>
      <c r="C12" s="41">
        <f>Players!$C$9</f>
        <v>17</v>
      </c>
      <c r="D12" s="41">
        <f>Players!$D$9</f>
        <v>9</v>
      </c>
      <c r="E12" s="42" t="s">
        <v>124</v>
      </c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41" t="str">
        <f t="shared" si="0"/>
        <v/>
      </c>
      <c r="Y12" s="41">
        <f t="shared" si="1"/>
        <v>0</v>
      </c>
      <c r="Z12" s="41" t="str">
        <f t="shared" si="2"/>
        <v/>
      </c>
      <c r="AA12" s="41" t="str">
        <f t="shared" si="3"/>
        <v/>
      </c>
      <c r="AB12" s="43" t="str">
        <f t="shared" si="4"/>
        <v/>
      </c>
      <c r="AC12" s="41">
        <f t="shared" si="5"/>
        <v>0</v>
      </c>
      <c r="AD12" s="9"/>
      <c r="AE12" s="9"/>
    </row>
    <row r="13" spans="1:31" x14ac:dyDescent="0.2">
      <c r="A13" s="39" t="str">
        <f>Players!$A$10</f>
        <v>Spencer Friend</v>
      </c>
      <c r="B13" s="40" t="str">
        <f>Players!$B$10</f>
        <v>Skull it and Pray</v>
      </c>
      <c r="C13" s="41">
        <f>Players!$C$10</f>
        <v>9</v>
      </c>
      <c r="D13" s="41">
        <f>Players!$D$10</f>
        <v>1</v>
      </c>
      <c r="E13" s="42" t="s">
        <v>124</v>
      </c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41" t="str">
        <f t="shared" si="0"/>
        <v/>
      </c>
      <c r="Y13" s="41">
        <f t="shared" si="1"/>
        <v>0</v>
      </c>
      <c r="Z13" s="41" t="str">
        <f t="shared" si="2"/>
        <v/>
      </c>
      <c r="AA13" s="41" t="str">
        <f t="shared" si="3"/>
        <v/>
      </c>
      <c r="AB13" s="43" t="str">
        <f t="shared" si="4"/>
        <v/>
      </c>
      <c r="AC13" s="41">
        <f t="shared" si="5"/>
        <v>0</v>
      </c>
      <c r="AD13" s="9"/>
      <c r="AE13" s="9"/>
    </row>
    <row r="14" spans="1:31" x14ac:dyDescent="0.2">
      <c r="A14" s="20" t="str">
        <f>Players!$A$11</f>
        <v>Ben Young</v>
      </c>
      <c r="B14" s="21" t="str">
        <f>Players!$B$11</f>
        <v>Team 3</v>
      </c>
      <c r="C14" s="12">
        <f>Players!$C$11</f>
        <v>18</v>
      </c>
      <c r="D14" s="12">
        <f>Players!$D$11</f>
        <v>10</v>
      </c>
      <c r="E14" s="36" t="s">
        <v>122</v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12" t="str">
        <f t="shared" si="0"/>
        <v/>
      </c>
      <c r="Y14" s="12">
        <f t="shared" si="1"/>
        <v>0</v>
      </c>
      <c r="Z14" s="12" t="str">
        <f t="shared" si="2"/>
        <v/>
      </c>
      <c r="AA14" s="12" t="str">
        <f t="shared" si="3"/>
        <v/>
      </c>
      <c r="AB14" s="38" t="str">
        <f t="shared" si="4"/>
        <v/>
      </c>
      <c r="AC14" s="12">
        <f t="shared" si="5"/>
        <v>0</v>
      </c>
      <c r="AD14" s="9"/>
      <c r="AE14" s="9"/>
    </row>
    <row r="15" spans="1:31" x14ac:dyDescent="0.2">
      <c r="A15" s="20" t="str">
        <f>Players!$A$12</f>
        <v>Justin Conrad</v>
      </c>
      <c r="B15" s="21" t="str">
        <f>Players!$B$12</f>
        <v>Team 3</v>
      </c>
      <c r="C15" s="12">
        <f>Players!$C$12</f>
        <v>30</v>
      </c>
      <c r="D15" s="12">
        <f>Players!$D$12</f>
        <v>22</v>
      </c>
      <c r="E15" s="36" t="s">
        <v>123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12" t="str">
        <f t="shared" si="0"/>
        <v/>
      </c>
      <c r="Y15" s="12">
        <f t="shared" si="1"/>
        <v>0</v>
      </c>
      <c r="Z15" s="12" t="str">
        <f t="shared" si="2"/>
        <v/>
      </c>
      <c r="AA15" s="12" t="str">
        <f t="shared" si="3"/>
        <v/>
      </c>
      <c r="AB15" s="38" t="str">
        <f t="shared" si="4"/>
        <v/>
      </c>
      <c r="AC15" s="12">
        <f t="shared" si="5"/>
        <v>0</v>
      </c>
      <c r="AD15" s="9"/>
      <c r="AE15" s="9"/>
    </row>
    <row r="16" spans="1:31" x14ac:dyDescent="0.2">
      <c r="A16" s="20" t="str">
        <f>Players!$A$13</f>
        <v>Shawn McMaster</v>
      </c>
      <c r="B16" s="21" t="str">
        <f>Players!$B$13</f>
        <v>Team 3</v>
      </c>
      <c r="C16" s="12">
        <f>Players!$C$13</f>
        <v>19</v>
      </c>
      <c r="D16" s="12">
        <f>Players!$D$13</f>
        <v>11</v>
      </c>
      <c r="E16" s="36" t="s">
        <v>125</v>
      </c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12" t="str">
        <f t="shared" si="0"/>
        <v/>
      </c>
      <c r="Y16" s="12">
        <f t="shared" si="1"/>
        <v>0</v>
      </c>
      <c r="Z16" s="12" t="str">
        <f t="shared" si="2"/>
        <v/>
      </c>
      <c r="AA16" s="12" t="str">
        <f t="shared" si="3"/>
        <v/>
      </c>
      <c r="AB16" s="38" t="str">
        <f t="shared" si="4"/>
        <v/>
      </c>
      <c r="AC16" s="12">
        <f t="shared" si="5"/>
        <v>0</v>
      </c>
      <c r="AD16" s="9"/>
      <c r="AE16" s="9"/>
    </row>
    <row r="17" spans="1:31" x14ac:dyDescent="0.2">
      <c r="A17" s="39" t="str">
        <f>Players!$A$14</f>
        <v>Ian Dempsey</v>
      </c>
      <c r="B17" s="40" t="str">
        <f>Players!$B$14</f>
        <v>Wydom’s Woodies</v>
      </c>
      <c r="C17" s="41">
        <f>Players!$C$14</f>
        <v>21</v>
      </c>
      <c r="D17" s="41">
        <f>Players!$D$14</f>
        <v>13</v>
      </c>
      <c r="E17" s="42" t="s">
        <v>122</v>
      </c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41" t="str">
        <f t="shared" si="0"/>
        <v/>
      </c>
      <c r="Y17" s="41">
        <f t="shared" si="1"/>
        <v>0</v>
      </c>
      <c r="Z17" s="41" t="str">
        <f t="shared" si="2"/>
        <v/>
      </c>
      <c r="AA17" s="41" t="str">
        <f t="shared" si="3"/>
        <v/>
      </c>
      <c r="AB17" s="43" t="str">
        <f t="shared" si="4"/>
        <v/>
      </c>
      <c r="AC17" s="41">
        <f t="shared" si="5"/>
        <v>0</v>
      </c>
      <c r="AD17" s="9"/>
      <c r="AE17" s="9"/>
    </row>
    <row r="18" spans="1:31" x14ac:dyDescent="0.2">
      <c r="A18" s="39" t="str">
        <f>Players!$A$15</f>
        <v>Nick Roy</v>
      </c>
      <c r="B18" s="40" t="str">
        <f>Players!$B$15</f>
        <v>Wydom’s Woodies</v>
      </c>
      <c r="C18" s="41">
        <f>Players!$C$15</f>
        <v>21</v>
      </c>
      <c r="D18" s="41">
        <f>Players!$D$15</f>
        <v>13</v>
      </c>
      <c r="E18" s="42" t="s">
        <v>124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41" t="str">
        <f t="shared" si="0"/>
        <v/>
      </c>
      <c r="Y18" s="41">
        <f t="shared" si="1"/>
        <v>0</v>
      </c>
      <c r="Z18" s="41" t="str">
        <f t="shared" si="2"/>
        <v/>
      </c>
      <c r="AA18" s="41" t="str">
        <f t="shared" si="3"/>
        <v/>
      </c>
      <c r="AB18" s="43" t="str">
        <f t="shared" si="4"/>
        <v/>
      </c>
      <c r="AC18" s="41">
        <f t="shared" si="5"/>
        <v>0</v>
      </c>
      <c r="AD18" s="9"/>
      <c r="AE18" s="9"/>
    </row>
    <row r="19" spans="1:31" x14ac:dyDescent="0.2">
      <c r="A19" s="39" t="str">
        <f>Players!$A$16</f>
        <v>Henry Holst</v>
      </c>
      <c r="B19" s="40" t="str">
        <f>Players!$B$16</f>
        <v>Wydom’s Woodies</v>
      </c>
      <c r="C19" s="41">
        <f>Players!$C$16</f>
        <v>19</v>
      </c>
      <c r="D19" s="41">
        <f>Players!$D$16</f>
        <v>11</v>
      </c>
      <c r="E19" s="42" t="s">
        <v>123</v>
      </c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41" t="str">
        <f t="shared" si="0"/>
        <v/>
      </c>
      <c r="Y19" s="41">
        <f t="shared" si="1"/>
        <v>0</v>
      </c>
      <c r="Z19" s="41" t="str">
        <f t="shared" si="2"/>
        <v/>
      </c>
      <c r="AA19" s="41" t="str">
        <f t="shared" si="3"/>
        <v/>
      </c>
      <c r="AB19" s="43" t="str">
        <f t="shared" si="4"/>
        <v/>
      </c>
      <c r="AC19" s="41">
        <f t="shared" si="5"/>
        <v>0</v>
      </c>
      <c r="AD19" s="9"/>
      <c r="AE19" s="9"/>
    </row>
    <row r="20" spans="1:31" x14ac:dyDescent="0.2">
      <c r="A20" s="20" t="str">
        <f>Players!$A$17</f>
        <v>Chad Stone</v>
      </c>
      <c r="B20" s="21" t="str">
        <f>Players!$B$17</f>
        <v>Putting Balls in the Hole</v>
      </c>
      <c r="C20" s="12">
        <f>Players!$C$17</f>
        <v>23</v>
      </c>
      <c r="D20" s="12">
        <f>Players!$D$17</f>
        <v>15</v>
      </c>
      <c r="E20" s="36" t="s">
        <v>125</v>
      </c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12" t="str">
        <f t="shared" si="0"/>
        <v/>
      </c>
      <c r="Y20" s="12">
        <f t="shared" si="1"/>
        <v>0</v>
      </c>
      <c r="Z20" s="12" t="str">
        <f t="shared" si="2"/>
        <v/>
      </c>
      <c r="AA20" s="12" t="str">
        <f t="shared" si="3"/>
        <v/>
      </c>
      <c r="AB20" s="38" t="str">
        <f t="shared" si="4"/>
        <v/>
      </c>
      <c r="AC20" s="12">
        <f t="shared" si="5"/>
        <v>0</v>
      </c>
      <c r="AD20" s="9"/>
      <c r="AE20" s="9"/>
    </row>
    <row r="21" spans="1:31" x14ac:dyDescent="0.2">
      <c r="A21" s="20" t="str">
        <f>Players!$A$18</f>
        <v>Tom Devine</v>
      </c>
      <c r="B21" s="21" t="str">
        <f>Players!$B$18</f>
        <v>Putting Balls in the Hole</v>
      </c>
      <c r="C21" s="12">
        <f>Players!$C$18</f>
        <v>17</v>
      </c>
      <c r="D21" s="12">
        <f>Players!$D$18</f>
        <v>9</v>
      </c>
      <c r="E21" s="36" t="s">
        <v>123</v>
      </c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12" t="str">
        <f t="shared" si="0"/>
        <v/>
      </c>
      <c r="Y21" s="12">
        <f t="shared" si="1"/>
        <v>0</v>
      </c>
      <c r="Z21" s="12" t="str">
        <f t="shared" si="2"/>
        <v/>
      </c>
      <c r="AA21" s="12" t="str">
        <f t="shared" si="3"/>
        <v/>
      </c>
      <c r="AB21" s="38" t="str">
        <f t="shared" si="4"/>
        <v/>
      </c>
      <c r="AC21" s="12">
        <f t="shared" si="5"/>
        <v>0</v>
      </c>
      <c r="AD21" s="9"/>
      <c r="AE21" s="9"/>
    </row>
    <row r="22" spans="1:31" x14ac:dyDescent="0.2">
      <c r="A22" s="20" t="str">
        <f>Players!$A$19</f>
        <v>Mike Warenda</v>
      </c>
      <c r="B22" s="21" t="str">
        <f>Players!$B$19</f>
        <v>Putting Balls in the Hole</v>
      </c>
      <c r="C22" s="12">
        <f>Players!$C$19</f>
        <v>21</v>
      </c>
      <c r="D22" s="12">
        <f>Players!$D$19</f>
        <v>13</v>
      </c>
      <c r="E22" s="36" t="s">
        <v>122</v>
      </c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12" t="str">
        <f t="shared" si="0"/>
        <v/>
      </c>
      <c r="Y22" s="12">
        <f t="shared" si="1"/>
        <v>0</v>
      </c>
      <c r="Z22" s="12" t="str">
        <f t="shared" si="2"/>
        <v/>
      </c>
      <c r="AA22" s="12" t="str">
        <f t="shared" si="3"/>
        <v/>
      </c>
      <c r="AB22" s="38" t="str">
        <f t="shared" si="4"/>
        <v/>
      </c>
      <c r="AC22" s="12">
        <f t="shared" si="5"/>
        <v>0</v>
      </c>
      <c r="AD22" s="9"/>
      <c r="AE22" s="9"/>
    </row>
    <row r="23" spans="1:3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ht="30" customHeight="1" x14ac:dyDescent="0.2">
      <c r="A24" s="9"/>
      <c r="B24" s="9"/>
      <c r="C24" s="9"/>
      <c r="D24" s="9"/>
      <c r="E24" s="44" t="s">
        <v>109</v>
      </c>
      <c r="F24" s="45" t="str">
        <f t="shared" ref="F24:W24" si="6">IF(COUNT(F46:F60)&lt;15,"",IF(COUNTIF(F46:F60,MIN(F46:F60))&gt;1,"tie",INDEX($A$8:$A$22,MATCH(MIN(F46:F60),F46:F60,0))))</f>
        <v/>
      </c>
      <c r="G24" s="45" t="str">
        <f t="shared" si="6"/>
        <v/>
      </c>
      <c r="H24" s="45" t="str">
        <f t="shared" si="6"/>
        <v/>
      </c>
      <c r="I24" s="45" t="str">
        <f t="shared" si="6"/>
        <v/>
      </c>
      <c r="J24" s="45" t="str">
        <f t="shared" si="6"/>
        <v/>
      </c>
      <c r="K24" s="45" t="str">
        <f t="shared" si="6"/>
        <v/>
      </c>
      <c r="L24" s="45" t="str">
        <f t="shared" si="6"/>
        <v/>
      </c>
      <c r="M24" s="45" t="str">
        <f t="shared" si="6"/>
        <v/>
      </c>
      <c r="N24" s="45" t="str">
        <f t="shared" si="6"/>
        <v/>
      </c>
      <c r="O24" s="45" t="str">
        <f t="shared" si="6"/>
        <v/>
      </c>
      <c r="P24" s="45" t="str">
        <f t="shared" si="6"/>
        <v/>
      </c>
      <c r="Q24" s="45" t="str">
        <f t="shared" si="6"/>
        <v/>
      </c>
      <c r="R24" s="45" t="str">
        <f t="shared" si="6"/>
        <v/>
      </c>
      <c r="S24" s="45" t="str">
        <f t="shared" si="6"/>
        <v/>
      </c>
      <c r="T24" s="45" t="str">
        <f t="shared" si="6"/>
        <v/>
      </c>
      <c r="U24" s="45" t="str">
        <f t="shared" si="6"/>
        <v/>
      </c>
      <c r="V24" s="45" t="str">
        <f t="shared" si="6"/>
        <v/>
      </c>
      <c r="W24" s="45" t="str">
        <f t="shared" si="6"/>
        <v/>
      </c>
      <c r="X24" s="9"/>
      <c r="Y24" s="9"/>
      <c r="Z24" s="9"/>
      <c r="AA24" s="9"/>
      <c r="AB24" s="9"/>
      <c r="AC24" s="9"/>
      <c r="AD24" s="9"/>
      <c r="AE24" s="9"/>
    </row>
    <row r="25" spans="1:31" x14ac:dyDescent="0.2">
      <c r="A25" s="9"/>
      <c r="B25" s="9"/>
      <c r="C25" s="9"/>
      <c r="D25" s="9"/>
      <c r="E25" s="46" t="s">
        <v>110</v>
      </c>
      <c r="F25" s="11">
        <f>COUNTIF(F24:W24,"?*")-COUNTIF(F24:W24,"tie")</f>
        <v>0</v>
      </c>
      <c r="G25" s="9"/>
      <c r="H25" s="46" t="s">
        <v>111</v>
      </c>
      <c r="I25" s="47">
        <f>IF(F25=0,0,Leaderboard!$B$3/F25)</f>
        <v>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x14ac:dyDescent="0.2">
      <c r="A27" s="48" t="s">
        <v>112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x14ac:dyDescent="0.2">
      <c r="A28" s="49" t="str">
        <f t="shared" ref="A28:A42" si="7">A8</f>
        <v>Frank Barta</v>
      </c>
      <c r="B28" s="9"/>
      <c r="C28" s="9"/>
      <c r="D28" s="9"/>
      <c r="E28" s="9"/>
      <c r="F28" s="25">
        <f t="shared" ref="F28:W28" si="8">INT($D8/18)+IF(F$6&lt;=MOD($D8,18),1,0)</f>
        <v>0</v>
      </c>
      <c r="G28" s="25">
        <f t="shared" si="8"/>
        <v>0</v>
      </c>
      <c r="H28" s="25">
        <f t="shared" si="8"/>
        <v>0</v>
      </c>
      <c r="I28" s="25">
        <f t="shared" si="8"/>
        <v>0</v>
      </c>
      <c r="J28" s="25">
        <f t="shared" si="8"/>
        <v>0</v>
      </c>
      <c r="K28" s="25">
        <f t="shared" si="8"/>
        <v>0</v>
      </c>
      <c r="L28" s="25">
        <f t="shared" si="8"/>
        <v>0</v>
      </c>
      <c r="M28" s="25">
        <f t="shared" si="8"/>
        <v>0</v>
      </c>
      <c r="N28" s="25">
        <f t="shared" si="8"/>
        <v>0</v>
      </c>
      <c r="O28" s="25">
        <f t="shared" si="8"/>
        <v>0</v>
      </c>
      <c r="P28" s="25">
        <f t="shared" si="8"/>
        <v>0</v>
      </c>
      <c r="Q28" s="25">
        <f t="shared" si="8"/>
        <v>0</v>
      </c>
      <c r="R28" s="25">
        <f t="shared" si="8"/>
        <v>0</v>
      </c>
      <c r="S28" s="25">
        <f t="shared" si="8"/>
        <v>0</v>
      </c>
      <c r="T28" s="25">
        <f t="shared" si="8"/>
        <v>0</v>
      </c>
      <c r="U28" s="25">
        <f t="shared" si="8"/>
        <v>0</v>
      </c>
      <c r="V28" s="25">
        <f t="shared" si="8"/>
        <v>0</v>
      </c>
      <c r="W28" s="25">
        <f t="shared" si="8"/>
        <v>0</v>
      </c>
      <c r="X28" s="9"/>
      <c r="Y28" s="9"/>
      <c r="Z28" s="9"/>
      <c r="AA28" s="9"/>
      <c r="AB28" s="9"/>
      <c r="AC28" s="9"/>
      <c r="AD28" s="9"/>
      <c r="AE28" s="9"/>
    </row>
    <row r="29" spans="1:31" x14ac:dyDescent="0.2">
      <c r="A29" s="49" t="str">
        <f t="shared" si="7"/>
        <v>Marc Wydom</v>
      </c>
      <c r="B29" s="9"/>
      <c r="C29" s="9"/>
      <c r="D29" s="9"/>
      <c r="E29" s="9"/>
      <c r="F29" s="25">
        <f t="shared" ref="F29:W29" si="9">INT($D9/18)+IF(F$6&lt;=MOD($D9,18),1,0)</f>
        <v>1</v>
      </c>
      <c r="G29" s="25">
        <f t="shared" si="9"/>
        <v>0</v>
      </c>
      <c r="H29" s="25">
        <f t="shared" si="9"/>
        <v>0</v>
      </c>
      <c r="I29" s="25">
        <f t="shared" si="9"/>
        <v>0</v>
      </c>
      <c r="J29" s="25">
        <f t="shared" si="9"/>
        <v>0</v>
      </c>
      <c r="K29" s="25">
        <f t="shared" si="9"/>
        <v>1</v>
      </c>
      <c r="L29" s="25">
        <f t="shared" si="9"/>
        <v>0</v>
      </c>
      <c r="M29" s="25">
        <f t="shared" si="9"/>
        <v>1</v>
      </c>
      <c r="N29" s="25">
        <f t="shared" si="9"/>
        <v>1</v>
      </c>
      <c r="O29" s="25">
        <f t="shared" si="9"/>
        <v>1</v>
      </c>
      <c r="P29" s="25">
        <f t="shared" si="9"/>
        <v>0</v>
      </c>
      <c r="Q29" s="25">
        <f t="shared" si="9"/>
        <v>1</v>
      </c>
      <c r="R29" s="25">
        <f t="shared" si="9"/>
        <v>1</v>
      </c>
      <c r="S29" s="25">
        <f t="shared" si="9"/>
        <v>0</v>
      </c>
      <c r="T29" s="25">
        <f t="shared" si="9"/>
        <v>0</v>
      </c>
      <c r="U29" s="25">
        <f t="shared" si="9"/>
        <v>0</v>
      </c>
      <c r="V29" s="25">
        <f t="shared" si="9"/>
        <v>0</v>
      </c>
      <c r="W29" s="25">
        <f t="shared" si="9"/>
        <v>1</v>
      </c>
      <c r="X29" s="9"/>
      <c r="Y29" s="9"/>
      <c r="Z29" s="9"/>
      <c r="AA29" s="9"/>
      <c r="AB29" s="9"/>
      <c r="AC29" s="9"/>
      <c r="AD29" s="9"/>
      <c r="AE29" s="9"/>
    </row>
    <row r="30" spans="1:31" x14ac:dyDescent="0.2">
      <c r="A30" s="49" t="str">
        <f t="shared" si="7"/>
        <v>Donnie Muller</v>
      </c>
      <c r="B30" s="9"/>
      <c r="C30" s="9"/>
      <c r="D30" s="9"/>
      <c r="E30" s="9"/>
      <c r="F30" s="25">
        <f t="shared" ref="F30:W30" si="10">INT($D10/18)+IF(F$6&lt;=MOD($D10,18),1,0)</f>
        <v>1</v>
      </c>
      <c r="G30" s="25">
        <f t="shared" si="10"/>
        <v>1</v>
      </c>
      <c r="H30" s="25">
        <f t="shared" si="10"/>
        <v>1</v>
      </c>
      <c r="I30" s="25">
        <f t="shared" si="10"/>
        <v>0</v>
      </c>
      <c r="J30" s="25">
        <f t="shared" si="10"/>
        <v>0</v>
      </c>
      <c r="K30" s="25">
        <f t="shared" si="10"/>
        <v>1</v>
      </c>
      <c r="L30" s="25">
        <f t="shared" si="10"/>
        <v>0</v>
      </c>
      <c r="M30" s="25">
        <f t="shared" si="10"/>
        <v>1</v>
      </c>
      <c r="N30" s="25">
        <f t="shared" si="10"/>
        <v>1</v>
      </c>
      <c r="O30" s="25">
        <f t="shared" si="10"/>
        <v>1</v>
      </c>
      <c r="P30" s="25">
        <f t="shared" si="10"/>
        <v>0</v>
      </c>
      <c r="Q30" s="25">
        <f t="shared" si="10"/>
        <v>1</v>
      </c>
      <c r="R30" s="25">
        <f t="shared" si="10"/>
        <v>1</v>
      </c>
      <c r="S30" s="25">
        <f t="shared" si="10"/>
        <v>0</v>
      </c>
      <c r="T30" s="25">
        <f t="shared" si="10"/>
        <v>0</v>
      </c>
      <c r="U30" s="25">
        <f t="shared" si="10"/>
        <v>0</v>
      </c>
      <c r="V30" s="25">
        <f t="shared" si="10"/>
        <v>1</v>
      </c>
      <c r="W30" s="25">
        <f t="shared" si="10"/>
        <v>1</v>
      </c>
      <c r="X30" s="9"/>
      <c r="Y30" s="9"/>
      <c r="Z30" s="9"/>
      <c r="AA30" s="9"/>
      <c r="AB30" s="9"/>
      <c r="AC30" s="9"/>
      <c r="AD30" s="9"/>
      <c r="AE30" s="9"/>
    </row>
    <row r="31" spans="1:31" x14ac:dyDescent="0.2">
      <c r="A31" s="49" t="str">
        <f t="shared" si="7"/>
        <v>Tommy Duncan</v>
      </c>
      <c r="B31" s="9"/>
      <c r="C31" s="9"/>
      <c r="D31" s="9"/>
      <c r="E31" s="9"/>
      <c r="F31" s="25">
        <f t="shared" ref="F31:W31" si="11">INT($D11/18)+IF(F$6&lt;=MOD($D11,18),1,0)</f>
        <v>1</v>
      </c>
      <c r="G31" s="25">
        <f t="shared" si="11"/>
        <v>1</v>
      </c>
      <c r="H31" s="25">
        <f t="shared" si="11"/>
        <v>1</v>
      </c>
      <c r="I31" s="25">
        <f t="shared" si="11"/>
        <v>1</v>
      </c>
      <c r="J31" s="25">
        <f t="shared" si="11"/>
        <v>1</v>
      </c>
      <c r="K31" s="25">
        <f t="shared" si="11"/>
        <v>1</v>
      </c>
      <c r="L31" s="25">
        <f t="shared" si="11"/>
        <v>0</v>
      </c>
      <c r="M31" s="25">
        <f t="shared" si="11"/>
        <v>1</v>
      </c>
      <c r="N31" s="25">
        <f t="shared" si="11"/>
        <v>1</v>
      </c>
      <c r="O31" s="25">
        <f t="shared" si="11"/>
        <v>1</v>
      </c>
      <c r="P31" s="25">
        <f t="shared" si="11"/>
        <v>1</v>
      </c>
      <c r="Q31" s="25">
        <f t="shared" si="11"/>
        <v>1</v>
      </c>
      <c r="R31" s="25">
        <f t="shared" si="11"/>
        <v>1</v>
      </c>
      <c r="S31" s="25">
        <f t="shared" si="11"/>
        <v>0</v>
      </c>
      <c r="T31" s="25">
        <f t="shared" si="11"/>
        <v>1</v>
      </c>
      <c r="U31" s="25">
        <f t="shared" si="11"/>
        <v>1</v>
      </c>
      <c r="V31" s="25">
        <f t="shared" si="11"/>
        <v>1</v>
      </c>
      <c r="W31" s="25">
        <f t="shared" si="11"/>
        <v>1</v>
      </c>
      <c r="X31" s="9"/>
      <c r="Y31" s="9"/>
      <c r="Z31" s="9"/>
      <c r="AA31" s="9"/>
      <c r="AB31" s="9"/>
      <c r="AC31" s="9"/>
      <c r="AD31" s="9"/>
      <c r="AE31" s="9"/>
    </row>
    <row r="32" spans="1:31" x14ac:dyDescent="0.2">
      <c r="A32" s="49" t="str">
        <f t="shared" si="7"/>
        <v>Jason Kimbo</v>
      </c>
      <c r="B32" s="9"/>
      <c r="C32" s="9"/>
      <c r="D32" s="9"/>
      <c r="E32" s="9"/>
      <c r="F32" s="25">
        <f t="shared" ref="F32:W32" si="12">INT($D12/18)+IF(F$6&lt;=MOD($D12,18),1,0)</f>
        <v>1</v>
      </c>
      <c r="G32" s="25">
        <f t="shared" si="12"/>
        <v>0</v>
      </c>
      <c r="H32" s="25">
        <f t="shared" si="12"/>
        <v>1</v>
      </c>
      <c r="I32" s="25">
        <f t="shared" si="12"/>
        <v>0</v>
      </c>
      <c r="J32" s="25">
        <f t="shared" si="12"/>
        <v>0</v>
      </c>
      <c r="K32" s="25">
        <f t="shared" si="12"/>
        <v>1</v>
      </c>
      <c r="L32" s="25">
        <f t="shared" si="12"/>
        <v>0</v>
      </c>
      <c r="M32" s="25">
        <f t="shared" si="12"/>
        <v>1</v>
      </c>
      <c r="N32" s="25">
        <f t="shared" si="12"/>
        <v>1</v>
      </c>
      <c r="O32" s="25">
        <f t="shared" si="12"/>
        <v>1</v>
      </c>
      <c r="P32" s="25">
        <f t="shared" si="12"/>
        <v>0</v>
      </c>
      <c r="Q32" s="25">
        <f t="shared" si="12"/>
        <v>1</v>
      </c>
      <c r="R32" s="25">
        <f t="shared" si="12"/>
        <v>1</v>
      </c>
      <c r="S32" s="25">
        <f t="shared" si="12"/>
        <v>0</v>
      </c>
      <c r="T32" s="25">
        <f t="shared" si="12"/>
        <v>0</v>
      </c>
      <c r="U32" s="25">
        <f t="shared" si="12"/>
        <v>0</v>
      </c>
      <c r="V32" s="25">
        <f t="shared" si="12"/>
        <v>0</v>
      </c>
      <c r="W32" s="25">
        <f t="shared" si="12"/>
        <v>1</v>
      </c>
      <c r="X32" s="9"/>
      <c r="Y32" s="9"/>
      <c r="Z32" s="9"/>
      <c r="AA32" s="9"/>
      <c r="AB32" s="9"/>
      <c r="AC32" s="9"/>
      <c r="AD32" s="9"/>
      <c r="AE32" s="9"/>
    </row>
    <row r="33" spans="1:31" x14ac:dyDescent="0.2">
      <c r="A33" s="49" t="str">
        <f t="shared" si="7"/>
        <v>Spencer Friend</v>
      </c>
      <c r="B33" s="9"/>
      <c r="C33" s="9"/>
      <c r="D33" s="9"/>
      <c r="E33" s="9"/>
      <c r="F33" s="25">
        <f t="shared" ref="F33:W33" si="13">INT($D13/18)+IF(F$6&lt;=MOD($D13,18),1,0)</f>
        <v>0</v>
      </c>
      <c r="G33" s="25">
        <f t="shared" si="13"/>
        <v>0</v>
      </c>
      <c r="H33" s="25">
        <f t="shared" si="13"/>
        <v>0</v>
      </c>
      <c r="I33" s="25">
        <f t="shared" si="13"/>
        <v>0</v>
      </c>
      <c r="J33" s="25">
        <f t="shared" si="13"/>
        <v>0</v>
      </c>
      <c r="K33" s="25">
        <f t="shared" si="13"/>
        <v>0</v>
      </c>
      <c r="L33" s="25">
        <f t="shared" si="13"/>
        <v>0</v>
      </c>
      <c r="M33" s="25">
        <f t="shared" si="13"/>
        <v>1</v>
      </c>
      <c r="N33" s="25">
        <f t="shared" si="13"/>
        <v>0</v>
      </c>
      <c r="O33" s="25">
        <f t="shared" si="13"/>
        <v>0</v>
      </c>
      <c r="P33" s="25">
        <f t="shared" si="13"/>
        <v>0</v>
      </c>
      <c r="Q33" s="25">
        <f t="shared" si="13"/>
        <v>0</v>
      </c>
      <c r="R33" s="25">
        <f t="shared" si="13"/>
        <v>0</v>
      </c>
      <c r="S33" s="25">
        <f t="shared" si="13"/>
        <v>0</v>
      </c>
      <c r="T33" s="25">
        <f t="shared" si="13"/>
        <v>0</v>
      </c>
      <c r="U33" s="25">
        <f t="shared" si="13"/>
        <v>0</v>
      </c>
      <c r="V33" s="25">
        <f t="shared" si="13"/>
        <v>0</v>
      </c>
      <c r="W33" s="25">
        <f t="shared" si="13"/>
        <v>0</v>
      </c>
      <c r="X33" s="9"/>
      <c r="Y33" s="9"/>
      <c r="Z33" s="9"/>
      <c r="AA33" s="9"/>
      <c r="AB33" s="9"/>
      <c r="AC33" s="9"/>
      <c r="AD33" s="9"/>
      <c r="AE33" s="9"/>
    </row>
    <row r="34" spans="1:31" x14ac:dyDescent="0.2">
      <c r="A34" s="49" t="str">
        <f t="shared" si="7"/>
        <v>Ben Young</v>
      </c>
      <c r="B34" s="9"/>
      <c r="C34" s="9"/>
      <c r="D34" s="9"/>
      <c r="E34" s="9"/>
      <c r="F34" s="25">
        <f t="shared" ref="F34:W34" si="14">INT($D14/18)+IF(F$6&lt;=MOD($D14,18),1,0)</f>
        <v>1</v>
      </c>
      <c r="G34" s="25">
        <f t="shared" si="14"/>
        <v>0</v>
      </c>
      <c r="H34" s="25">
        <f t="shared" si="14"/>
        <v>1</v>
      </c>
      <c r="I34" s="25">
        <f t="shared" si="14"/>
        <v>0</v>
      </c>
      <c r="J34" s="25">
        <f t="shared" si="14"/>
        <v>0</v>
      </c>
      <c r="K34" s="25">
        <f t="shared" si="14"/>
        <v>1</v>
      </c>
      <c r="L34" s="25">
        <f t="shared" si="14"/>
        <v>0</v>
      </c>
      <c r="M34" s="25">
        <f t="shared" si="14"/>
        <v>1</v>
      </c>
      <c r="N34" s="25">
        <f t="shared" si="14"/>
        <v>1</v>
      </c>
      <c r="O34" s="25">
        <f t="shared" si="14"/>
        <v>1</v>
      </c>
      <c r="P34" s="25">
        <f t="shared" si="14"/>
        <v>0</v>
      </c>
      <c r="Q34" s="25">
        <f t="shared" si="14"/>
        <v>1</v>
      </c>
      <c r="R34" s="25">
        <f t="shared" si="14"/>
        <v>1</v>
      </c>
      <c r="S34" s="25">
        <f t="shared" si="14"/>
        <v>0</v>
      </c>
      <c r="T34" s="25">
        <f t="shared" si="14"/>
        <v>0</v>
      </c>
      <c r="U34" s="25">
        <f t="shared" si="14"/>
        <v>0</v>
      </c>
      <c r="V34" s="25">
        <f t="shared" si="14"/>
        <v>1</v>
      </c>
      <c r="W34" s="25">
        <f t="shared" si="14"/>
        <v>1</v>
      </c>
      <c r="X34" s="9"/>
      <c r="Y34" s="9"/>
      <c r="Z34" s="9"/>
      <c r="AA34" s="9"/>
      <c r="AB34" s="9"/>
      <c r="AC34" s="9"/>
      <c r="AD34" s="9"/>
      <c r="AE34" s="9"/>
    </row>
    <row r="35" spans="1:31" x14ac:dyDescent="0.2">
      <c r="A35" s="49" t="str">
        <f t="shared" si="7"/>
        <v>Justin Conrad</v>
      </c>
      <c r="B35" s="9"/>
      <c r="C35" s="9"/>
      <c r="D35" s="9"/>
      <c r="E35" s="9"/>
      <c r="F35" s="25">
        <f t="shared" ref="F35:W35" si="15">INT($D15/18)+IF(F$6&lt;=MOD($D15,18),1,0)</f>
        <v>1</v>
      </c>
      <c r="G35" s="25">
        <f t="shared" si="15"/>
        <v>1</v>
      </c>
      <c r="H35" s="25">
        <f t="shared" si="15"/>
        <v>1</v>
      </c>
      <c r="I35" s="25">
        <f t="shared" si="15"/>
        <v>1</v>
      </c>
      <c r="J35" s="25">
        <f t="shared" si="15"/>
        <v>1</v>
      </c>
      <c r="K35" s="25">
        <f t="shared" si="15"/>
        <v>1</v>
      </c>
      <c r="L35" s="25">
        <f t="shared" si="15"/>
        <v>1</v>
      </c>
      <c r="M35" s="25">
        <f t="shared" si="15"/>
        <v>2</v>
      </c>
      <c r="N35" s="25">
        <f t="shared" si="15"/>
        <v>2</v>
      </c>
      <c r="O35" s="25">
        <f t="shared" si="15"/>
        <v>1</v>
      </c>
      <c r="P35" s="25">
        <f t="shared" si="15"/>
        <v>1</v>
      </c>
      <c r="Q35" s="25">
        <f t="shared" si="15"/>
        <v>1</v>
      </c>
      <c r="R35" s="25">
        <f t="shared" si="15"/>
        <v>2</v>
      </c>
      <c r="S35" s="25">
        <f t="shared" si="15"/>
        <v>1</v>
      </c>
      <c r="T35" s="25">
        <f t="shared" si="15"/>
        <v>1</v>
      </c>
      <c r="U35" s="25">
        <f t="shared" si="15"/>
        <v>1</v>
      </c>
      <c r="V35" s="25">
        <f t="shared" si="15"/>
        <v>1</v>
      </c>
      <c r="W35" s="25">
        <f t="shared" si="15"/>
        <v>2</v>
      </c>
      <c r="X35" s="9"/>
      <c r="Y35" s="9"/>
      <c r="Z35" s="9"/>
      <c r="AA35" s="9"/>
      <c r="AB35" s="9"/>
      <c r="AC35" s="9"/>
      <c r="AD35" s="9"/>
      <c r="AE35" s="9"/>
    </row>
    <row r="36" spans="1:31" x14ac:dyDescent="0.2">
      <c r="A36" s="49" t="str">
        <f t="shared" si="7"/>
        <v>Shawn McMaster</v>
      </c>
      <c r="B36" s="9"/>
      <c r="C36" s="9"/>
      <c r="D36" s="9"/>
      <c r="E36" s="9"/>
      <c r="F36" s="25">
        <f t="shared" ref="F36:W36" si="16">INT($D16/18)+IF(F$6&lt;=MOD($D16,18),1,0)</f>
        <v>1</v>
      </c>
      <c r="G36" s="25">
        <f t="shared" si="16"/>
        <v>1</v>
      </c>
      <c r="H36" s="25">
        <f t="shared" si="16"/>
        <v>1</v>
      </c>
      <c r="I36" s="25">
        <f t="shared" si="16"/>
        <v>0</v>
      </c>
      <c r="J36" s="25">
        <f t="shared" si="16"/>
        <v>0</v>
      </c>
      <c r="K36" s="25">
        <f t="shared" si="16"/>
        <v>1</v>
      </c>
      <c r="L36" s="25">
        <f t="shared" si="16"/>
        <v>0</v>
      </c>
      <c r="M36" s="25">
        <f t="shared" si="16"/>
        <v>1</v>
      </c>
      <c r="N36" s="25">
        <f t="shared" si="16"/>
        <v>1</v>
      </c>
      <c r="O36" s="25">
        <f t="shared" si="16"/>
        <v>1</v>
      </c>
      <c r="P36" s="25">
        <f t="shared" si="16"/>
        <v>0</v>
      </c>
      <c r="Q36" s="25">
        <f t="shared" si="16"/>
        <v>1</v>
      </c>
      <c r="R36" s="25">
        <f t="shared" si="16"/>
        <v>1</v>
      </c>
      <c r="S36" s="25">
        <f t="shared" si="16"/>
        <v>0</v>
      </c>
      <c r="T36" s="25">
        <f t="shared" si="16"/>
        <v>0</v>
      </c>
      <c r="U36" s="25">
        <f t="shared" si="16"/>
        <v>0</v>
      </c>
      <c r="V36" s="25">
        <f t="shared" si="16"/>
        <v>1</v>
      </c>
      <c r="W36" s="25">
        <f t="shared" si="16"/>
        <v>1</v>
      </c>
      <c r="X36" s="9"/>
      <c r="Y36" s="9"/>
      <c r="Z36" s="9"/>
      <c r="AA36" s="9"/>
      <c r="AB36" s="9"/>
      <c r="AC36" s="9"/>
      <c r="AD36" s="9"/>
      <c r="AE36" s="9"/>
    </row>
    <row r="37" spans="1:31" x14ac:dyDescent="0.2">
      <c r="A37" s="49" t="str">
        <f t="shared" si="7"/>
        <v>Ian Dempsey</v>
      </c>
      <c r="B37" s="9"/>
      <c r="C37" s="9"/>
      <c r="D37" s="9"/>
      <c r="E37" s="9"/>
      <c r="F37" s="25">
        <f t="shared" ref="F37:W37" si="17">INT($D17/18)+IF(F$6&lt;=MOD($D17,18),1,0)</f>
        <v>1</v>
      </c>
      <c r="G37" s="25">
        <f t="shared" si="17"/>
        <v>1</v>
      </c>
      <c r="H37" s="25">
        <f t="shared" si="17"/>
        <v>1</v>
      </c>
      <c r="I37" s="25">
        <f t="shared" si="17"/>
        <v>0</v>
      </c>
      <c r="J37" s="25">
        <f t="shared" si="17"/>
        <v>1</v>
      </c>
      <c r="K37" s="25">
        <f t="shared" si="17"/>
        <v>1</v>
      </c>
      <c r="L37" s="25">
        <f t="shared" si="17"/>
        <v>0</v>
      </c>
      <c r="M37" s="25">
        <f t="shared" si="17"/>
        <v>1</v>
      </c>
      <c r="N37" s="25">
        <f t="shared" si="17"/>
        <v>1</v>
      </c>
      <c r="O37" s="25">
        <f t="shared" si="17"/>
        <v>1</v>
      </c>
      <c r="P37" s="25">
        <f t="shared" si="17"/>
        <v>0</v>
      </c>
      <c r="Q37" s="25">
        <f t="shared" si="17"/>
        <v>1</v>
      </c>
      <c r="R37" s="25">
        <f t="shared" si="17"/>
        <v>1</v>
      </c>
      <c r="S37" s="25">
        <f t="shared" si="17"/>
        <v>0</v>
      </c>
      <c r="T37" s="25">
        <f t="shared" si="17"/>
        <v>1</v>
      </c>
      <c r="U37" s="25">
        <f t="shared" si="17"/>
        <v>0</v>
      </c>
      <c r="V37" s="25">
        <f t="shared" si="17"/>
        <v>1</v>
      </c>
      <c r="W37" s="25">
        <f t="shared" si="17"/>
        <v>1</v>
      </c>
      <c r="X37" s="9"/>
      <c r="Y37" s="9"/>
      <c r="Z37" s="9"/>
      <c r="AA37" s="9"/>
      <c r="AB37" s="9"/>
      <c r="AC37" s="9"/>
      <c r="AD37" s="9"/>
      <c r="AE37" s="9"/>
    </row>
    <row r="38" spans="1:31" x14ac:dyDescent="0.2">
      <c r="A38" s="49" t="str">
        <f t="shared" si="7"/>
        <v>Nick Roy</v>
      </c>
      <c r="B38" s="9"/>
      <c r="C38" s="9"/>
      <c r="D38" s="9"/>
      <c r="E38" s="9"/>
      <c r="F38" s="25">
        <f t="shared" ref="F38:W38" si="18">INT($D18/18)+IF(F$6&lt;=MOD($D18,18),1,0)</f>
        <v>1</v>
      </c>
      <c r="G38" s="25">
        <f t="shared" si="18"/>
        <v>1</v>
      </c>
      <c r="H38" s="25">
        <f t="shared" si="18"/>
        <v>1</v>
      </c>
      <c r="I38" s="25">
        <f t="shared" si="18"/>
        <v>0</v>
      </c>
      <c r="J38" s="25">
        <f t="shared" si="18"/>
        <v>1</v>
      </c>
      <c r="K38" s="25">
        <f t="shared" si="18"/>
        <v>1</v>
      </c>
      <c r="L38" s="25">
        <f t="shared" si="18"/>
        <v>0</v>
      </c>
      <c r="M38" s="25">
        <f t="shared" si="18"/>
        <v>1</v>
      </c>
      <c r="N38" s="25">
        <f t="shared" si="18"/>
        <v>1</v>
      </c>
      <c r="O38" s="25">
        <f t="shared" si="18"/>
        <v>1</v>
      </c>
      <c r="P38" s="25">
        <f t="shared" si="18"/>
        <v>0</v>
      </c>
      <c r="Q38" s="25">
        <f t="shared" si="18"/>
        <v>1</v>
      </c>
      <c r="R38" s="25">
        <f t="shared" si="18"/>
        <v>1</v>
      </c>
      <c r="S38" s="25">
        <f t="shared" si="18"/>
        <v>0</v>
      </c>
      <c r="T38" s="25">
        <f t="shared" si="18"/>
        <v>1</v>
      </c>
      <c r="U38" s="25">
        <f t="shared" si="18"/>
        <v>0</v>
      </c>
      <c r="V38" s="25">
        <f t="shared" si="18"/>
        <v>1</v>
      </c>
      <c r="W38" s="25">
        <f t="shared" si="18"/>
        <v>1</v>
      </c>
      <c r="X38" s="9"/>
      <c r="Y38" s="9"/>
      <c r="Z38" s="9"/>
      <c r="AA38" s="9"/>
      <c r="AB38" s="9"/>
      <c r="AC38" s="9"/>
      <c r="AD38" s="9"/>
      <c r="AE38" s="9"/>
    </row>
    <row r="39" spans="1:31" x14ac:dyDescent="0.2">
      <c r="A39" s="49" t="str">
        <f t="shared" si="7"/>
        <v>Henry Holst</v>
      </c>
      <c r="B39" s="9"/>
      <c r="C39" s="9"/>
      <c r="D39" s="9"/>
      <c r="E39" s="9"/>
      <c r="F39" s="25">
        <f t="shared" ref="F39:W39" si="19">INT($D19/18)+IF(F$6&lt;=MOD($D19,18),1,0)</f>
        <v>1</v>
      </c>
      <c r="G39" s="25">
        <f t="shared" si="19"/>
        <v>1</v>
      </c>
      <c r="H39" s="25">
        <f t="shared" si="19"/>
        <v>1</v>
      </c>
      <c r="I39" s="25">
        <f t="shared" si="19"/>
        <v>0</v>
      </c>
      <c r="J39" s="25">
        <f t="shared" si="19"/>
        <v>0</v>
      </c>
      <c r="K39" s="25">
        <f t="shared" si="19"/>
        <v>1</v>
      </c>
      <c r="L39" s="25">
        <f t="shared" si="19"/>
        <v>0</v>
      </c>
      <c r="M39" s="25">
        <f t="shared" si="19"/>
        <v>1</v>
      </c>
      <c r="N39" s="25">
        <f t="shared" si="19"/>
        <v>1</v>
      </c>
      <c r="O39" s="25">
        <f t="shared" si="19"/>
        <v>1</v>
      </c>
      <c r="P39" s="25">
        <f t="shared" si="19"/>
        <v>0</v>
      </c>
      <c r="Q39" s="25">
        <f t="shared" si="19"/>
        <v>1</v>
      </c>
      <c r="R39" s="25">
        <f t="shared" si="19"/>
        <v>1</v>
      </c>
      <c r="S39" s="25">
        <f t="shared" si="19"/>
        <v>0</v>
      </c>
      <c r="T39" s="25">
        <f t="shared" si="19"/>
        <v>0</v>
      </c>
      <c r="U39" s="25">
        <f t="shared" si="19"/>
        <v>0</v>
      </c>
      <c r="V39" s="25">
        <f t="shared" si="19"/>
        <v>1</v>
      </c>
      <c r="W39" s="25">
        <f t="shared" si="19"/>
        <v>1</v>
      </c>
      <c r="X39" s="9"/>
      <c r="Y39" s="9"/>
      <c r="Z39" s="9"/>
      <c r="AA39" s="9"/>
      <c r="AB39" s="9"/>
      <c r="AC39" s="9"/>
      <c r="AD39" s="9"/>
      <c r="AE39" s="9"/>
    </row>
    <row r="40" spans="1:31" x14ac:dyDescent="0.2">
      <c r="A40" s="49" t="str">
        <f t="shared" si="7"/>
        <v>Chad Stone</v>
      </c>
      <c r="B40" s="9"/>
      <c r="C40" s="9"/>
      <c r="D40" s="9"/>
      <c r="E40" s="9"/>
      <c r="F40" s="25">
        <f t="shared" ref="F40:W40" si="20">INT($D20/18)+IF(F$6&lt;=MOD($D20,18),1,0)</f>
        <v>1</v>
      </c>
      <c r="G40" s="25">
        <f t="shared" si="20"/>
        <v>1</v>
      </c>
      <c r="H40" s="25">
        <f t="shared" si="20"/>
        <v>1</v>
      </c>
      <c r="I40" s="25">
        <f t="shared" si="20"/>
        <v>1</v>
      </c>
      <c r="J40" s="25">
        <f t="shared" si="20"/>
        <v>1</v>
      </c>
      <c r="K40" s="25">
        <f t="shared" si="20"/>
        <v>1</v>
      </c>
      <c r="L40" s="25">
        <f t="shared" si="20"/>
        <v>0</v>
      </c>
      <c r="M40" s="25">
        <f t="shared" si="20"/>
        <v>1</v>
      </c>
      <c r="N40" s="25">
        <f t="shared" si="20"/>
        <v>1</v>
      </c>
      <c r="O40" s="25">
        <f t="shared" si="20"/>
        <v>1</v>
      </c>
      <c r="P40" s="25">
        <f t="shared" si="20"/>
        <v>1</v>
      </c>
      <c r="Q40" s="25">
        <f t="shared" si="20"/>
        <v>1</v>
      </c>
      <c r="R40" s="25">
        <f t="shared" si="20"/>
        <v>1</v>
      </c>
      <c r="S40" s="25">
        <f t="shared" si="20"/>
        <v>0</v>
      </c>
      <c r="T40" s="25">
        <f t="shared" si="20"/>
        <v>1</v>
      </c>
      <c r="U40" s="25">
        <f t="shared" si="20"/>
        <v>0</v>
      </c>
      <c r="V40" s="25">
        <f t="shared" si="20"/>
        <v>1</v>
      </c>
      <c r="W40" s="25">
        <f t="shared" si="20"/>
        <v>1</v>
      </c>
      <c r="X40" s="9"/>
      <c r="Y40" s="9"/>
      <c r="Z40" s="9"/>
      <c r="AA40" s="9"/>
      <c r="AB40" s="9"/>
      <c r="AC40" s="9"/>
      <c r="AD40" s="9"/>
      <c r="AE40" s="9"/>
    </row>
    <row r="41" spans="1:31" x14ac:dyDescent="0.2">
      <c r="A41" s="49" t="str">
        <f t="shared" si="7"/>
        <v>Tom Devine</v>
      </c>
      <c r="B41" s="9"/>
      <c r="C41" s="9"/>
      <c r="D41" s="9"/>
      <c r="E41" s="9"/>
      <c r="F41" s="25">
        <f t="shared" ref="F41:W41" si="21">INT($D21/18)+IF(F$6&lt;=MOD($D21,18),1,0)</f>
        <v>1</v>
      </c>
      <c r="G41" s="25">
        <f t="shared" si="21"/>
        <v>0</v>
      </c>
      <c r="H41" s="25">
        <f t="shared" si="21"/>
        <v>1</v>
      </c>
      <c r="I41" s="25">
        <f t="shared" si="21"/>
        <v>0</v>
      </c>
      <c r="J41" s="25">
        <f t="shared" si="21"/>
        <v>0</v>
      </c>
      <c r="K41" s="25">
        <f t="shared" si="21"/>
        <v>1</v>
      </c>
      <c r="L41" s="25">
        <f t="shared" si="21"/>
        <v>0</v>
      </c>
      <c r="M41" s="25">
        <f t="shared" si="21"/>
        <v>1</v>
      </c>
      <c r="N41" s="25">
        <f t="shared" si="21"/>
        <v>1</v>
      </c>
      <c r="O41" s="25">
        <f t="shared" si="21"/>
        <v>1</v>
      </c>
      <c r="P41" s="25">
        <f t="shared" si="21"/>
        <v>0</v>
      </c>
      <c r="Q41" s="25">
        <f t="shared" si="21"/>
        <v>1</v>
      </c>
      <c r="R41" s="25">
        <f t="shared" si="21"/>
        <v>1</v>
      </c>
      <c r="S41" s="25">
        <f t="shared" si="21"/>
        <v>0</v>
      </c>
      <c r="T41" s="25">
        <f t="shared" si="21"/>
        <v>0</v>
      </c>
      <c r="U41" s="25">
        <f t="shared" si="21"/>
        <v>0</v>
      </c>
      <c r="V41" s="25">
        <f t="shared" si="21"/>
        <v>0</v>
      </c>
      <c r="W41" s="25">
        <f t="shared" si="21"/>
        <v>1</v>
      </c>
      <c r="X41" s="9"/>
      <c r="Y41" s="9"/>
      <c r="Z41" s="9"/>
      <c r="AA41" s="9"/>
      <c r="AB41" s="9"/>
      <c r="AC41" s="9"/>
      <c r="AD41" s="9"/>
      <c r="AE41" s="9"/>
    </row>
    <row r="42" spans="1:31" x14ac:dyDescent="0.2">
      <c r="A42" s="49" t="str">
        <f t="shared" si="7"/>
        <v>Mike Warenda</v>
      </c>
      <c r="B42" s="9"/>
      <c r="C42" s="9"/>
      <c r="D42" s="9"/>
      <c r="E42" s="9"/>
      <c r="F42" s="25">
        <f t="shared" ref="F42:W42" si="22">INT($D22/18)+IF(F$6&lt;=MOD($D22,18),1,0)</f>
        <v>1</v>
      </c>
      <c r="G42" s="25">
        <f t="shared" si="22"/>
        <v>1</v>
      </c>
      <c r="H42" s="25">
        <f t="shared" si="22"/>
        <v>1</v>
      </c>
      <c r="I42" s="25">
        <f t="shared" si="22"/>
        <v>0</v>
      </c>
      <c r="J42" s="25">
        <f t="shared" si="22"/>
        <v>1</v>
      </c>
      <c r="K42" s="25">
        <f t="shared" si="22"/>
        <v>1</v>
      </c>
      <c r="L42" s="25">
        <f t="shared" si="22"/>
        <v>0</v>
      </c>
      <c r="M42" s="25">
        <f t="shared" si="22"/>
        <v>1</v>
      </c>
      <c r="N42" s="25">
        <f t="shared" si="22"/>
        <v>1</v>
      </c>
      <c r="O42" s="25">
        <f t="shared" si="22"/>
        <v>1</v>
      </c>
      <c r="P42" s="25">
        <f t="shared" si="22"/>
        <v>0</v>
      </c>
      <c r="Q42" s="25">
        <f t="shared" si="22"/>
        <v>1</v>
      </c>
      <c r="R42" s="25">
        <f t="shared" si="22"/>
        <v>1</v>
      </c>
      <c r="S42" s="25">
        <f t="shared" si="22"/>
        <v>0</v>
      </c>
      <c r="T42" s="25">
        <f t="shared" si="22"/>
        <v>1</v>
      </c>
      <c r="U42" s="25">
        <f t="shared" si="22"/>
        <v>0</v>
      </c>
      <c r="V42" s="25">
        <f t="shared" si="22"/>
        <v>1</v>
      </c>
      <c r="W42" s="25">
        <f t="shared" si="22"/>
        <v>1</v>
      </c>
      <c r="X42" s="9"/>
      <c r="Y42" s="9"/>
      <c r="Z42" s="9"/>
      <c r="AA42" s="9"/>
      <c r="AB42" s="9"/>
      <c r="AC42" s="9"/>
      <c r="AD42" s="9"/>
      <c r="AE42" s="9"/>
    </row>
    <row r="43" spans="1:31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x14ac:dyDescent="0.2">
      <c r="A45" s="48" t="s">
        <v>113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x14ac:dyDescent="0.2">
      <c r="A46" s="49" t="str">
        <f t="shared" ref="A46:A60" si="23">A8</f>
        <v>Frank Barta</v>
      </c>
      <c r="B46" s="9"/>
      <c r="C46" s="9"/>
      <c r="D46" s="9"/>
      <c r="E46" s="9"/>
      <c r="F46" s="25" t="str">
        <f t="shared" ref="F46:W46" si="24">IF(ISNUMBER(F8),F8-F28,"")</f>
        <v/>
      </c>
      <c r="G46" s="25" t="str">
        <f t="shared" si="24"/>
        <v/>
      </c>
      <c r="H46" s="25" t="str">
        <f t="shared" si="24"/>
        <v/>
      </c>
      <c r="I46" s="25" t="str">
        <f t="shared" si="24"/>
        <v/>
      </c>
      <c r="J46" s="25" t="str">
        <f t="shared" si="24"/>
        <v/>
      </c>
      <c r="K46" s="25" t="str">
        <f t="shared" si="24"/>
        <v/>
      </c>
      <c r="L46" s="25" t="str">
        <f t="shared" si="24"/>
        <v/>
      </c>
      <c r="M46" s="25" t="str">
        <f t="shared" si="24"/>
        <v/>
      </c>
      <c r="N46" s="25" t="str">
        <f t="shared" si="24"/>
        <v/>
      </c>
      <c r="O46" s="25" t="str">
        <f t="shared" si="24"/>
        <v/>
      </c>
      <c r="P46" s="25" t="str">
        <f t="shared" si="24"/>
        <v/>
      </c>
      <c r="Q46" s="25" t="str">
        <f t="shared" si="24"/>
        <v/>
      </c>
      <c r="R46" s="25" t="str">
        <f t="shared" si="24"/>
        <v/>
      </c>
      <c r="S46" s="25" t="str">
        <f t="shared" si="24"/>
        <v/>
      </c>
      <c r="T46" s="25" t="str">
        <f t="shared" si="24"/>
        <v/>
      </c>
      <c r="U46" s="25" t="str">
        <f t="shared" si="24"/>
        <v/>
      </c>
      <c r="V46" s="25" t="str">
        <f t="shared" si="24"/>
        <v/>
      </c>
      <c r="W46" s="25" t="str">
        <f t="shared" si="24"/>
        <v/>
      </c>
      <c r="X46" s="9"/>
      <c r="Y46" s="9"/>
      <c r="Z46" s="9"/>
      <c r="AA46" s="9"/>
      <c r="AB46" s="9"/>
      <c r="AC46" s="9"/>
      <c r="AD46" s="9"/>
      <c r="AE46" s="9"/>
    </row>
    <row r="47" spans="1:31" x14ac:dyDescent="0.2">
      <c r="A47" s="49" t="str">
        <f t="shared" si="23"/>
        <v>Marc Wydom</v>
      </c>
      <c r="B47" s="9"/>
      <c r="C47" s="9"/>
      <c r="D47" s="9"/>
      <c r="E47" s="9"/>
      <c r="F47" s="25" t="str">
        <f t="shared" ref="F47:W47" si="25">IF(ISNUMBER(F9),F9-F29,"")</f>
        <v/>
      </c>
      <c r="G47" s="25" t="str">
        <f t="shared" si="25"/>
        <v/>
      </c>
      <c r="H47" s="25" t="str">
        <f t="shared" si="25"/>
        <v/>
      </c>
      <c r="I47" s="25" t="str">
        <f t="shared" si="25"/>
        <v/>
      </c>
      <c r="J47" s="25" t="str">
        <f t="shared" si="25"/>
        <v/>
      </c>
      <c r="K47" s="25" t="str">
        <f t="shared" si="25"/>
        <v/>
      </c>
      <c r="L47" s="25" t="str">
        <f t="shared" si="25"/>
        <v/>
      </c>
      <c r="M47" s="25" t="str">
        <f t="shared" si="25"/>
        <v/>
      </c>
      <c r="N47" s="25" t="str">
        <f t="shared" si="25"/>
        <v/>
      </c>
      <c r="O47" s="25" t="str">
        <f t="shared" si="25"/>
        <v/>
      </c>
      <c r="P47" s="25" t="str">
        <f t="shared" si="25"/>
        <v/>
      </c>
      <c r="Q47" s="25" t="str">
        <f t="shared" si="25"/>
        <v/>
      </c>
      <c r="R47" s="25" t="str">
        <f t="shared" si="25"/>
        <v/>
      </c>
      <c r="S47" s="25" t="str">
        <f t="shared" si="25"/>
        <v/>
      </c>
      <c r="T47" s="25" t="str">
        <f t="shared" si="25"/>
        <v/>
      </c>
      <c r="U47" s="25" t="str">
        <f t="shared" si="25"/>
        <v/>
      </c>
      <c r="V47" s="25" t="str">
        <f t="shared" si="25"/>
        <v/>
      </c>
      <c r="W47" s="25" t="str">
        <f t="shared" si="25"/>
        <v/>
      </c>
      <c r="X47" s="9"/>
      <c r="Y47" s="9"/>
      <c r="Z47" s="9"/>
      <c r="AA47" s="9"/>
      <c r="AB47" s="9"/>
      <c r="AC47" s="9"/>
      <c r="AD47" s="9"/>
      <c r="AE47" s="9"/>
    </row>
    <row r="48" spans="1:31" x14ac:dyDescent="0.2">
      <c r="A48" s="49" t="str">
        <f t="shared" si="23"/>
        <v>Donnie Muller</v>
      </c>
      <c r="B48" s="9"/>
      <c r="C48" s="9"/>
      <c r="D48" s="9"/>
      <c r="E48" s="9"/>
      <c r="F48" s="25" t="str">
        <f t="shared" ref="F48:W48" si="26">IF(ISNUMBER(F10),F10-F30,"")</f>
        <v/>
      </c>
      <c r="G48" s="25" t="str">
        <f t="shared" si="26"/>
        <v/>
      </c>
      <c r="H48" s="25" t="str">
        <f t="shared" si="26"/>
        <v/>
      </c>
      <c r="I48" s="25" t="str">
        <f t="shared" si="26"/>
        <v/>
      </c>
      <c r="J48" s="25" t="str">
        <f t="shared" si="26"/>
        <v/>
      </c>
      <c r="K48" s="25" t="str">
        <f t="shared" si="26"/>
        <v/>
      </c>
      <c r="L48" s="25" t="str">
        <f t="shared" si="26"/>
        <v/>
      </c>
      <c r="M48" s="25" t="str">
        <f t="shared" si="26"/>
        <v/>
      </c>
      <c r="N48" s="25" t="str">
        <f t="shared" si="26"/>
        <v/>
      </c>
      <c r="O48" s="25" t="str">
        <f t="shared" si="26"/>
        <v/>
      </c>
      <c r="P48" s="25" t="str">
        <f t="shared" si="26"/>
        <v/>
      </c>
      <c r="Q48" s="25" t="str">
        <f t="shared" si="26"/>
        <v/>
      </c>
      <c r="R48" s="25" t="str">
        <f t="shared" si="26"/>
        <v/>
      </c>
      <c r="S48" s="25" t="str">
        <f t="shared" si="26"/>
        <v/>
      </c>
      <c r="T48" s="25" t="str">
        <f t="shared" si="26"/>
        <v/>
      </c>
      <c r="U48" s="25" t="str">
        <f t="shared" si="26"/>
        <v/>
      </c>
      <c r="V48" s="25" t="str">
        <f t="shared" si="26"/>
        <v/>
      </c>
      <c r="W48" s="25" t="str">
        <f t="shared" si="26"/>
        <v/>
      </c>
      <c r="X48" s="9"/>
      <c r="Y48" s="9"/>
      <c r="Z48" s="9"/>
      <c r="AA48" s="9"/>
      <c r="AB48" s="9"/>
      <c r="AC48" s="9"/>
      <c r="AD48" s="9"/>
      <c r="AE48" s="9"/>
    </row>
    <row r="49" spans="1:31" x14ac:dyDescent="0.2">
      <c r="A49" s="49" t="str">
        <f t="shared" si="23"/>
        <v>Tommy Duncan</v>
      </c>
      <c r="B49" s="9"/>
      <c r="C49" s="9"/>
      <c r="D49" s="9"/>
      <c r="E49" s="9"/>
      <c r="F49" s="25" t="str">
        <f t="shared" ref="F49:W49" si="27">IF(ISNUMBER(F11),F11-F31,"")</f>
        <v/>
      </c>
      <c r="G49" s="25" t="str">
        <f t="shared" si="27"/>
        <v/>
      </c>
      <c r="H49" s="25" t="str">
        <f t="shared" si="27"/>
        <v/>
      </c>
      <c r="I49" s="25" t="str">
        <f t="shared" si="27"/>
        <v/>
      </c>
      <c r="J49" s="25" t="str">
        <f t="shared" si="27"/>
        <v/>
      </c>
      <c r="K49" s="25" t="str">
        <f t="shared" si="27"/>
        <v/>
      </c>
      <c r="L49" s="25" t="str">
        <f t="shared" si="27"/>
        <v/>
      </c>
      <c r="M49" s="25" t="str">
        <f t="shared" si="27"/>
        <v/>
      </c>
      <c r="N49" s="25" t="str">
        <f t="shared" si="27"/>
        <v/>
      </c>
      <c r="O49" s="25" t="str">
        <f t="shared" si="27"/>
        <v/>
      </c>
      <c r="P49" s="25" t="str">
        <f t="shared" si="27"/>
        <v/>
      </c>
      <c r="Q49" s="25" t="str">
        <f t="shared" si="27"/>
        <v/>
      </c>
      <c r="R49" s="25" t="str">
        <f t="shared" si="27"/>
        <v/>
      </c>
      <c r="S49" s="25" t="str">
        <f t="shared" si="27"/>
        <v/>
      </c>
      <c r="T49" s="25" t="str">
        <f t="shared" si="27"/>
        <v/>
      </c>
      <c r="U49" s="25" t="str">
        <f t="shared" si="27"/>
        <v/>
      </c>
      <c r="V49" s="25" t="str">
        <f t="shared" si="27"/>
        <v/>
      </c>
      <c r="W49" s="25" t="str">
        <f t="shared" si="27"/>
        <v/>
      </c>
      <c r="X49" s="9"/>
      <c r="Y49" s="9"/>
      <c r="Z49" s="9"/>
      <c r="AA49" s="9"/>
      <c r="AB49" s="9"/>
      <c r="AC49" s="9"/>
      <c r="AD49" s="9"/>
      <c r="AE49" s="9"/>
    </row>
    <row r="50" spans="1:31" x14ac:dyDescent="0.2">
      <c r="A50" s="49" t="str">
        <f t="shared" si="23"/>
        <v>Jason Kimbo</v>
      </c>
      <c r="B50" s="9"/>
      <c r="C50" s="9"/>
      <c r="D50" s="9"/>
      <c r="E50" s="9"/>
      <c r="F50" s="25" t="str">
        <f t="shared" ref="F50:W50" si="28">IF(ISNUMBER(F12),F12-F32,"")</f>
        <v/>
      </c>
      <c r="G50" s="25" t="str">
        <f t="shared" si="28"/>
        <v/>
      </c>
      <c r="H50" s="25" t="str">
        <f t="shared" si="28"/>
        <v/>
      </c>
      <c r="I50" s="25" t="str">
        <f t="shared" si="28"/>
        <v/>
      </c>
      <c r="J50" s="25" t="str">
        <f t="shared" si="28"/>
        <v/>
      </c>
      <c r="K50" s="25" t="str">
        <f t="shared" si="28"/>
        <v/>
      </c>
      <c r="L50" s="25" t="str">
        <f t="shared" si="28"/>
        <v/>
      </c>
      <c r="M50" s="25" t="str">
        <f t="shared" si="28"/>
        <v/>
      </c>
      <c r="N50" s="25" t="str">
        <f t="shared" si="28"/>
        <v/>
      </c>
      <c r="O50" s="25" t="str">
        <f t="shared" si="28"/>
        <v/>
      </c>
      <c r="P50" s="25" t="str">
        <f t="shared" si="28"/>
        <v/>
      </c>
      <c r="Q50" s="25" t="str">
        <f t="shared" si="28"/>
        <v/>
      </c>
      <c r="R50" s="25" t="str">
        <f t="shared" si="28"/>
        <v/>
      </c>
      <c r="S50" s="25" t="str">
        <f t="shared" si="28"/>
        <v/>
      </c>
      <c r="T50" s="25" t="str">
        <f t="shared" si="28"/>
        <v/>
      </c>
      <c r="U50" s="25" t="str">
        <f t="shared" si="28"/>
        <v/>
      </c>
      <c r="V50" s="25" t="str">
        <f t="shared" si="28"/>
        <v/>
      </c>
      <c r="W50" s="25" t="str">
        <f t="shared" si="28"/>
        <v/>
      </c>
      <c r="X50" s="9"/>
      <c r="Y50" s="9"/>
      <c r="Z50" s="9"/>
      <c r="AA50" s="9"/>
      <c r="AB50" s="9"/>
      <c r="AC50" s="9"/>
      <c r="AD50" s="9"/>
      <c r="AE50" s="9"/>
    </row>
    <row r="51" spans="1:31" x14ac:dyDescent="0.2">
      <c r="A51" s="49" t="str">
        <f t="shared" si="23"/>
        <v>Spencer Friend</v>
      </c>
      <c r="B51" s="9"/>
      <c r="C51" s="9"/>
      <c r="D51" s="9"/>
      <c r="E51" s="9"/>
      <c r="F51" s="25" t="str">
        <f t="shared" ref="F51:W51" si="29">IF(ISNUMBER(F13),F13-F33,"")</f>
        <v/>
      </c>
      <c r="G51" s="25" t="str">
        <f t="shared" si="29"/>
        <v/>
      </c>
      <c r="H51" s="25" t="str">
        <f t="shared" si="29"/>
        <v/>
      </c>
      <c r="I51" s="25" t="str">
        <f t="shared" si="29"/>
        <v/>
      </c>
      <c r="J51" s="25" t="str">
        <f t="shared" si="29"/>
        <v/>
      </c>
      <c r="K51" s="25" t="str">
        <f t="shared" si="29"/>
        <v/>
      </c>
      <c r="L51" s="25" t="str">
        <f t="shared" si="29"/>
        <v/>
      </c>
      <c r="M51" s="25" t="str">
        <f t="shared" si="29"/>
        <v/>
      </c>
      <c r="N51" s="25" t="str">
        <f t="shared" si="29"/>
        <v/>
      </c>
      <c r="O51" s="25" t="str">
        <f t="shared" si="29"/>
        <v/>
      </c>
      <c r="P51" s="25" t="str">
        <f t="shared" si="29"/>
        <v/>
      </c>
      <c r="Q51" s="25" t="str">
        <f t="shared" si="29"/>
        <v/>
      </c>
      <c r="R51" s="25" t="str">
        <f t="shared" si="29"/>
        <v/>
      </c>
      <c r="S51" s="25" t="str">
        <f t="shared" si="29"/>
        <v/>
      </c>
      <c r="T51" s="25" t="str">
        <f t="shared" si="29"/>
        <v/>
      </c>
      <c r="U51" s="25" t="str">
        <f t="shared" si="29"/>
        <v/>
      </c>
      <c r="V51" s="25" t="str">
        <f t="shared" si="29"/>
        <v/>
      </c>
      <c r="W51" s="25" t="str">
        <f t="shared" si="29"/>
        <v/>
      </c>
      <c r="X51" s="9"/>
      <c r="Y51" s="9"/>
      <c r="Z51" s="9"/>
      <c r="AA51" s="9"/>
      <c r="AB51" s="9"/>
      <c r="AC51" s="9"/>
      <c r="AD51" s="9"/>
      <c r="AE51" s="9"/>
    </row>
    <row r="52" spans="1:31" x14ac:dyDescent="0.2">
      <c r="A52" s="49" t="str">
        <f t="shared" si="23"/>
        <v>Ben Young</v>
      </c>
      <c r="B52" s="9"/>
      <c r="C52" s="9"/>
      <c r="D52" s="9"/>
      <c r="E52" s="9"/>
      <c r="F52" s="25" t="str">
        <f t="shared" ref="F52:W52" si="30">IF(ISNUMBER(F14),F14-F34,"")</f>
        <v/>
      </c>
      <c r="G52" s="25" t="str">
        <f t="shared" si="30"/>
        <v/>
      </c>
      <c r="H52" s="25" t="str">
        <f t="shared" si="30"/>
        <v/>
      </c>
      <c r="I52" s="25" t="str">
        <f t="shared" si="30"/>
        <v/>
      </c>
      <c r="J52" s="25" t="str">
        <f t="shared" si="30"/>
        <v/>
      </c>
      <c r="K52" s="25" t="str">
        <f t="shared" si="30"/>
        <v/>
      </c>
      <c r="L52" s="25" t="str">
        <f t="shared" si="30"/>
        <v/>
      </c>
      <c r="M52" s="25" t="str">
        <f t="shared" si="30"/>
        <v/>
      </c>
      <c r="N52" s="25" t="str">
        <f t="shared" si="30"/>
        <v/>
      </c>
      <c r="O52" s="25" t="str">
        <f t="shared" si="30"/>
        <v/>
      </c>
      <c r="P52" s="25" t="str">
        <f t="shared" si="30"/>
        <v/>
      </c>
      <c r="Q52" s="25" t="str">
        <f t="shared" si="30"/>
        <v/>
      </c>
      <c r="R52" s="25" t="str">
        <f t="shared" si="30"/>
        <v/>
      </c>
      <c r="S52" s="25" t="str">
        <f t="shared" si="30"/>
        <v/>
      </c>
      <c r="T52" s="25" t="str">
        <f t="shared" si="30"/>
        <v/>
      </c>
      <c r="U52" s="25" t="str">
        <f t="shared" si="30"/>
        <v/>
      </c>
      <c r="V52" s="25" t="str">
        <f t="shared" si="30"/>
        <v/>
      </c>
      <c r="W52" s="25" t="str">
        <f t="shared" si="30"/>
        <v/>
      </c>
      <c r="X52" s="9"/>
      <c r="Y52" s="9"/>
      <c r="Z52" s="9"/>
      <c r="AA52" s="9"/>
      <c r="AB52" s="9"/>
      <c r="AC52" s="9"/>
      <c r="AD52" s="9"/>
      <c r="AE52" s="9"/>
    </row>
    <row r="53" spans="1:31" x14ac:dyDescent="0.2">
      <c r="A53" s="49" t="str">
        <f t="shared" si="23"/>
        <v>Justin Conrad</v>
      </c>
      <c r="B53" s="9"/>
      <c r="C53" s="9"/>
      <c r="D53" s="9"/>
      <c r="E53" s="9"/>
      <c r="F53" s="25" t="str">
        <f t="shared" ref="F53:W53" si="31">IF(ISNUMBER(F15),F15-F35,"")</f>
        <v/>
      </c>
      <c r="G53" s="25" t="str">
        <f t="shared" si="31"/>
        <v/>
      </c>
      <c r="H53" s="25" t="str">
        <f t="shared" si="31"/>
        <v/>
      </c>
      <c r="I53" s="25" t="str">
        <f t="shared" si="31"/>
        <v/>
      </c>
      <c r="J53" s="25" t="str">
        <f t="shared" si="31"/>
        <v/>
      </c>
      <c r="K53" s="25" t="str">
        <f t="shared" si="31"/>
        <v/>
      </c>
      <c r="L53" s="25" t="str">
        <f t="shared" si="31"/>
        <v/>
      </c>
      <c r="M53" s="25" t="str">
        <f t="shared" si="31"/>
        <v/>
      </c>
      <c r="N53" s="25" t="str">
        <f t="shared" si="31"/>
        <v/>
      </c>
      <c r="O53" s="25" t="str">
        <f t="shared" si="31"/>
        <v/>
      </c>
      <c r="P53" s="25" t="str">
        <f t="shared" si="31"/>
        <v/>
      </c>
      <c r="Q53" s="25" t="str">
        <f t="shared" si="31"/>
        <v/>
      </c>
      <c r="R53" s="25" t="str">
        <f t="shared" si="31"/>
        <v/>
      </c>
      <c r="S53" s="25" t="str">
        <f t="shared" si="31"/>
        <v/>
      </c>
      <c r="T53" s="25" t="str">
        <f t="shared" si="31"/>
        <v/>
      </c>
      <c r="U53" s="25" t="str">
        <f t="shared" si="31"/>
        <v/>
      </c>
      <c r="V53" s="25" t="str">
        <f t="shared" si="31"/>
        <v/>
      </c>
      <c r="W53" s="25" t="str">
        <f t="shared" si="31"/>
        <v/>
      </c>
      <c r="X53" s="9"/>
      <c r="Y53" s="9"/>
      <c r="Z53" s="9"/>
      <c r="AA53" s="9"/>
      <c r="AB53" s="9"/>
      <c r="AC53" s="9"/>
      <c r="AD53" s="9"/>
      <c r="AE53" s="9"/>
    </row>
    <row r="54" spans="1:31" x14ac:dyDescent="0.2">
      <c r="A54" s="49" t="str">
        <f t="shared" si="23"/>
        <v>Shawn McMaster</v>
      </c>
      <c r="B54" s="9"/>
      <c r="C54" s="9"/>
      <c r="D54" s="9"/>
      <c r="E54" s="9"/>
      <c r="F54" s="25" t="str">
        <f t="shared" ref="F54:W54" si="32">IF(ISNUMBER(F16),F16-F36,"")</f>
        <v/>
      </c>
      <c r="G54" s="25" t="str">
        <f t="shared" si="32"/>
        <v/>
      </c>
      <c r="H54" s="25" t="str">
        <f t="shared" si="32"/>
        <v/>
      </c>
      <c r="I54" s="25" t="str">
        <f t="shared" si="32"/>
        <v/>
      </c>
      <c r="J54" s="25" t="str">
        <f t="shared" si="32"/>
        <v/>
      </c>
      <c r="K54" s="25" t="str">
        <f t="shared" si="32"/>
        <v/>
      </c>
      <c r="L54" s="25" t="str">
        <f t="shared" si="32"/>
        <v/>
      </c>
      <c r="M54" s="25" t="str">
        <f t="shared" si="32"/>
        <v/>
      </c>
      <c r="N54" s="25" t="str">
        <f t="shared" si="32"/>
        <v/>
      </c>
      <c r="O54" s="25" t="str">
        <f t="shared" si="32"/>
        <v/>
      </c>
      <c r="P54" s="25" t="str">
        <f t="shared" si="32"/>
        <v/>
      </c>
      <c r="Q54" s="25" t="str">
        <f t="shared" si="32"/>
        <v/>
      </c>
      <c r="R54" s="25" t="str">
        <f t="shared" si="32"/>
        <v/>
      </c>
      <c r="S54" s="25" t="str">
        <f t="shared" si="32"/>
        <v/>
      </c>
      <c r="T54" s="25" t="str">
        <f t="shared" si="32"/>
        <v/>
      </c>
      <c r="U54" s="25" t="str">
        <f t="shared" si="32"/>
        <v/>
      </c>
      <c r="V54" s="25" t="str">
        <f t="shared" si="32"/>
        <v/>
      </c>
      <c r="W54" s="25" t="str">
        <f t="shared" si="32"/>
        <v/>
      </c>
      <c r="X54" s="9"/>
      <c r="Y54" s="9"/>
      <c r="Z54" s="9"/>
      <c r="AA54" s="9"/>
      <c r="AB54" s="9"/>
      <c r="AC54" s="9"/>
      <c r="AD54" s="9"/>
      <c r="AE54" s="9"/>
    </row>
    <row r="55" spans="1:31" x14ac:dyDescent="0.2">
      <c r="A55" s="49" t="str">
        <f t="shared" si="23"/>
        <v>Ian Dempsey</v>
      </c>
      <c r="B55" s="9"/>
      <c r="C55" s="9"/>
      <c r="D55" s="9"/>
      <c r="E55" s="9"/>
      <c r="F55" s="25" t="str">
        <f t="shared" ref="F55:W55" si="33">IF(ISNUMBER(F17),F17-F37,"")</f>
        <v/>
      </c>
      <c r="G55" s="25" t="str">
        <f t="shared" si="33"/>
        <v/>
      </c>
      <c r="H55" s="25" t="str">
        <f t="shared" si="33"/>
        <v/>
      </c>
      <c r="I55" s="25" t="str">
        <f t="shared" si="33"/>
        <v/>
      </c>
      <c r="J55" s="25" t="str">
        <f t="shared" si="33"/>
        <v/>
      </c>
      <c r="K55" s="25" t="str">
        <f t="shared" si="33"/>
        <v/>
      </c>
      <c r="L55" s="25" t="str">
        <f t="shared" si="33"/>
        <v/>
      </c>
      <c r="M55" s="25" t="str">
        <f t="shared" si="33"/>
        <v/>
      </c>
      <c r="N55" s="25" t="str">
        <f t="shared" si="33"/>
        <v/>
      </c>
      <c r="O55" s="25" t="str">
        <f t="shared" si="33"/>
        <v/>
      </c>
      <c r="P55" s="25" t="str">
        <f t="shared" si="33"/>
        <v/>
      </c>
      <c r="Q55" s="25" t="str">
        <f t="shared" si="33"/>
        <v/>
      </c>
      <c r="R55" s="25" t="str">
        <f t="shared" si="33"/>
        <v/>
      </c>
      <c r="S55" s="25" t="str">
        <f t="shared" si="33"/>
        <v/>
      </c>
      <c r="T55" s="25" t="str">
        <f t="shared" si="33"/>
        <v/>
      </c>
      <c r="U55" s="25" t="str">
        <f t="shared" si="33"/>
        <v/>
      </c>
      <c r="V55" s="25" t="str">
        <f t="shared" si="33"/>
        <v/>
      </c>
      <c r="W55" s="25" t="str">
        <f t="shared" si="33"/>
        <v/>
      </c>
      <c r="X55" s="9"/>
      <c r="Y55" s="9"/>
      <c r="Z55" s="9"/>
      <c r="AA55" s="9"/>
      <c r="AB55" s="9"/>
      <c r="AC55" s="9"/>
      <c r="AD55" s="9"/>
      <c r="AE55" s="9"/>
    </row>
    <row r="56" spans="1:31" x14ac:dyDescent="0.2">
      <c r="A56" s="49" t="str">
        <f t="shared" si="23"/>
        <v>Nick Roy</v>
      </c>
      <c r="B56" s="9"/>
      <c r="C56" s="9"/>
      <c r="D56" s="9"/>
      <c r="E56" s="9"/>
      <c r="F56" s="25" t="str">
        <f t="shared" ref="F56:W56" si="34">IF(ISNUMBER(F18),F18-F38,"")</f>
        <v/>
      </c>
      <c r="G56" s="25" t="str">
        <f t="shared" si="34"/>
        <v/>
      </c>
      <c r="H56" s="25" t="str">
        <f t="shared" si="34"/>
        <v/>
      </c>
      <c r="I56" s="25" t="str">
        <f t="shared" si="34"/>
        <v/>
      </c>
      <c r="J56" s="25" t="str">
        <f t="shared" si="34"/>
        <v/>
      </c>
      <c r="K56" s="25" t="str">
        <f t="shared" si="34"/>
        <v/>
      </c>
      <c r="L56" s="25" t="str">
        <f t="shared" si="34"/>
        <v/>
      </c>
      <c r="M56" s="25" t="str">
        <f t="shared" si="34"/>
        <v/>
      </c>
      <c r="N56" s="25" t="str">
        <f t="shared" si="34"/>
        <v/>
      </c>
      <c r="O56" s="25" t="str">
        <f t="shared" si="34"/>
        <v/>
      </c>
      <c r="P56" s="25" t="str">
        <f t="shared" si="34"/>
        <v/>
      </c>
      <c r="Q56" s="25" t="str">
        <f t="shared" si="34"/>
        <v/>
      </c>
      <c r="R56" s="25" t="str">
        <f t="shared" si="34"/>
        <v/>
      </c>
      <c r="S56" s="25" t="str">
        <f t="shared" si="34"/>
        <v/>
      </c>
      <c r="T56" s="25" t="str">
        <f t="shared" si="34"/>
        <v/>
      </c>
      <c r="U56" s="25" t="str">
        <f t="shared" si="34"/>
        <v/>
      </c>
      <c r="V56" s="25" t="str">
        <f t="shared" si="34"/>
        <v/>
      </c>
      <c r="W56" s="25" t="str">
        <f t="shared" si="34"/>
        <v/>
      </c>
      <c r="X56" s="9"/>
      <c r="Y56" s="9"/>
      <c r="Z56" s="9"/>
      <c r="AA56" s="9"/>
      <c r="AB56" s="9"/>
      <c r="AC56" s="9"/>
      <c r="AD56" s="9"/>
      <c r="AE56" s="9"/>
    </row>
    <row r="57" spans="1:31" x14ac:dyDescent="0.2">
      <c r="A57" s="49" t="str">
        <f t="shared" si="23"/>
        <v>Henry Holst</v>
      </c>
      <c r="B57" s="9"/>
      <c r="C57" s="9"/>
      <c r="D57" s="9"/>
      <c r="E57" s="9"/>
      <c r="F57" s="25" t="str">
        <f t="shared" ref="F57:W57" si="35">IF(ISNUMBER(F19),F19-F39,"")</f>
        <v/>
      </c>
      <c r="G57" s="25" t="str">
        <f t="shared" si="35"/>
        <v/>
      </c>
      <c r="H57" s="25" t="str">
        <f t="shared" si="35"/>
        <v/>
      </c>
      <c r="I57" s="25" t="str">
        <f t="shared" si="35"/>
        <v/>
      </c>
      <c r="J57" s="25" t="str">
        <f t="shared" si="35"/>
        <v/>
      </c>
      <c r="K57" s="25" t="str">
        <f t="shared" si="35"/>
        <v/>
      </c>
      <c r="L57" s="25" t="str">
        <f t="shared" si="35"/>
        <v/>
      </c>
      <c r="M57" s="25" t="str">
        <f t="shared" si="35"/>
        <v/>
      </c>
      <c r="N57" s="25" t="str">
        <f t="shared" si="35"/>
        <v/>
      </c>
      <c r="O57" s="25" t="str">
        <f t="shared" si="35"/>
        <v/>
      </c>
      <c r="P57" s="25" t="str">
        <f t="shared" si="35"/>
        <v/>
      </c>
      <c r="Q57" s="25" t="str">
        <f t="shared" si="35"/>
        <v/>
      </c>
      <c r="R57" s="25" t="str">
        <f t="shared" si="35"/>
        <v/>
      </c>
      <c r="S57" s="25" t="str">
        <f t="shared" si="35"/>
        <v/>
      </c>
      <c r="T57" s="25" t="str">
        <f t="shared" si="35"/>
        <v/>
      </c>
      <c r="U57" s="25" t="str">
        <f t="shared" si="35"/>
        <v/>
      </c>
      <c r="V57" s="25" t="str">
        <f t="shared" si="35"/>
        <v/>
      </c>
      <c r="W57" s="25" t="str">
        <f t="shared" si="35"/>
        <v/>
      </c>
      <c r="X57" s="9"/>
      <c r="Y57" s="9"/>
      <c r="Z57" s="9"/>
      <c r="AA57" s="9"/>
      <c r="AB57" s="9"/>
      <c r="AC57" s="9"/>
      <c r="AD57" s="9"/>
      <c r="AE57" s="9"/>
    </row>
    <row r="58" spans="1:31" x14ac:dyDescent="0.2">
      <c r="A58" s="49" t="str">
        <f t="shared" si="23"/>
        <v>Chad Stone</v>
      </c>
      <c r="B58" s="9"/>
      <c r="C58" s="9"/>
      <c r="D58" s="9"/>
      <c r="E58" s="9"/>
      <c r="F58" s="25" t="str">
        <f t="shared" ref="F58:W58" si="36">IF(ISNUMBER(F20),F20-F40,"")</f>
        <v/>
      </c>
      <c r="G58" s="25" t="str">
        <f t="shared" si="36"/>
        <v/>
      </c>
      <c r="H58" s="25" t="str">
        <f t="shared" si="36"/>
        <v/>
      </c>
      <c r="I58" s="25" t="str">
        <f t="shared" si="36"/>
        <v/>
      </c>
      <c r="J58" s="25" t="str">
        <f t="shared" si="36"/>
        <v/>
      </c>
      <c r="K58" s="25" t="str">
        <f t="shared" si="36"/>
        <v/>
      </c>
      <c r="L58" s="25" t="str">
        <f t="shared" si="36"/>
        <v/>
      </c>
      <c r="M58" s="25" t="str">
        <f t="shared" si="36"/>
        <v/>
      </c>
      <c r="N58" s="25" t="str">
        <f t="shared" si="36"/>
        <v/>
      </c>
      <c r="O58" s="25" t="str">
        <f t="shared" si="36"/>
        <v/>
      </c>
      <c r="P58" s="25" t="str">
        <f t="shared" si="36"/>
        <v/>
      </c>
      <c r="Q58" s="25" t="str">
        <f t="shared" si="36"/>
        <v/>
      </c>
      <c r="R58" s="25" t="str">
        <f t="shared" si="36"/>
        <v/>
      </c>
      <c r="S58" s="25" t="str">
        <f t="shared" si="36"/>
        <v/>
      </c>
      <c r="T58" s="25" t="str">
        <f t="shared" si="36"/>
        <v/>
      </c>
      <c r="U58" s="25" t="str">
        <f t="shared" si="36"/>
        <v/>
      </c>
      <c r="V58" s="25" t="str">
        <f t="shared" si="36"/>
        <v/>
      </c>
      <c r="W58" s="25" t="str">
        <f t="shared" si="36"/>
        <v/>
      </c>
      <c r="X58" s="9"/>
      <c r="Y58" s="9"/>
      <c r="Z58" s="9"/>
      <c r="AA58" s="9"/>
      <c r="AB58" s="9"/>
      <c r="AC58" s="9"/>
      <c r="AD58" s="9"/>
      <c r="AE58" s="9"/>
    </row>
    <row r="59" spans="1:31" x14ac:dyDescent="0.2">
      <c r="A59" s="49" t="str">
        <f t="shared" si="23"/>
        <v>Tom Devine</v>
      </c>
      <c r="B59" s="9"/>
      <c r="C59" s="9"/>
      <c r="D59" s="9"/>
      <c r="E59" s="9"/>
      <c r="F59" s="25" t="str">
        <f t="shared" ref="F59:W59" si="37">IF(ISNUMBER(F21),F21-F41,"")</f>
        <v/>
      </c>
      <c r="G59" s="25" t="str">
        <f t="shared" si="37"/>
        <v/>
      </c>
      <c r="H59" s="25" t="str">
        <f t="shared" si="37"/>
        <v/>
      </c>
      <c r="I59" s="25" t="str">
        <f t="shared" si="37"/>
        <v/>
      </c>
      <c r="J59" s="25" t="str">
        <f t="shared" si="37"/>
        <v/>
      </c>
      <c r="K59" s="25" t="str">
        <f t="shared" si="37"/>
        <v/>
      </c>
      <c r="L59" s="25" t="str">
        <f t="shared" si="37"/>
        <v/>
      </c>
      <c r="M59" s="25" t="str">
        <f t="shared" si="37"/>
        <v/>
      </c>
      <c r="N59" s="25" t="str">
        <f t="shared" si="37"/>
        <v/>
      </c>
      <c r="O59" s="25" t="str">
        <f t="shared" si="37"/>
        <v/>
      </c>
      <c r="P59" s="25" t="str">
        <f t="shared" si="37"/>
        <v/>
      </c>
      <c r="Q59" s="25" t="str">
        <f t="shared" si="37"/>
        <v/>
      </c>
      <c r="R59" s="25" t="str">
        <f t="shared" si="37"/>
        <v/>
      </c>
      <c r="S59" s="25" t="str">
        <f t="shared" si="37"/>
        <v/>
      </c>
      <c r="T59" s="25" t="str">
        <f t="shared" si="37"/>
        <v/>
      </c>
      <c r="U59" s="25" t="str">
        <f t="shared" si="37"/>
        <v/>
      </c>
      <c r="V59" s="25" t="str">
        <f t="shared" si="37"/>
        <v/>
      </c>
      <c r="W59" s="25" t="str">
        <f t="shared" si="37"/>
        <v/>
      </c>
      <c r="X59" s="9"/>
      <c r="Y59" s="9"/>
      <c r="Z59" s="9"/>
      <c r="AA59" s="9"/>
      <c r="AB59" s="9"/>
      <c r="AC59" s="9"/>
      <c r="AD59" s="9"/>
      <c r="AE59" s="9"/>
    </row>
    <row r="60" spans="1:31" x14ac:dyDescent="0.2">
      <c r="A60" s="49" t="str">
        <f t="shared" si="23"/>
        <v>Mike Warenda</v>
      </c>
      <c r="B60" s="9"/>
      <c r="C60" s="9"/>
      <c r="D60" s="9"/>
      <c r="E60" s="9"/>
      <c r="F60" s="25" t="str">
        <f t="shared" ref="F60:W60" si="38">IF(ISNUMBER(F22),F22-F42,"")</f>
        <v/>
      </c>
      <c r="G60" s="25" t="str">
        <f t="shared" si="38"/>
        <v/>
      </c>
      <c r="H60" s="25" t="str">
        <f t="shared" si="38"/>
        <v/>
      </c>
      <c r="I60" s="25" t="str">
        <f t="shared" si="38"/>
        <v/>
      </c>
      <c r="J60" s="25" t="str">
        <f t="shared" si="38"/>
        <v/>
      </c>
      <c r="K60" s="25" t="str">
        <f t="shared" si="38"/>
        <v/>
      </c>
      <c r="L60" s="25" t="str">
        <f t="shared" si="38"/>
        <v/>
      </c>
      <c r="M60" s="25" t="str">
        <f t="shared" si="38"/>
        <v/>
      </c>
      <c r="N60" s="25" t="str">
        <f t="shared" si="38"/>
        <v/>
      </c>
      <c r="O60" s="25" t="str">
        <f t="shared" si="38"/>
        <v/>
      </c>
      <c r="P60" s="25" t="str">
        <f t="shared" si="38"/>
        <v/>
      </c>
      <c r="Q60" s="25" t="str">
        <f t="shared" si="38"/>
        <v/>
      </c>
      <c r="R60" s="25" t="str">
        <f t="shared" si="38"/>
        <v/>
      </c>
      <c r="S60" s="25" t="str">
        <f t="shared" si="38"/>
        <v/>
      </c>
      <c r="T60" s="25" t="str">
        <f t="shared" si="38"/>
        <v/>
      </c>
      <c r="U60" s="25" t="str">
        <f t="shared" si="38"/>
        <v/>
      </c>
      <c r="V60" s="25" t="str">
        <f t="shared" si="38"/>
        <v/>
      </c>
      <c r="W60" s="25" t="str">
        <f t="shared" si="38"/>
        <v/>
      </c>
      <c r="X60" s="9"/>
      <c r="Y60" s="9"/>
      <c r="Z60" s="9"/>
      <c r="AA60" s="9"/>
      <c r="AB60" s="9"/>
      <c r="AC60" s="9"/>
      <c r="AD60" s="9"/>
      <c r="AE60" s="9"/>
    </row>
    <row r="61" spans="1:31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1" x14ac:dyDescent="0.2">
      <c r="A63" s="48" t="s">
        <v>114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1" x14ac:dyDescent="0.2">
      <c r="A64" s="49" t="str">
        <f t="shared" ref="A64:A78" si="39">A8</f>
        <v>Frank Barta</v>
      </c>
      <c r="B64" s="9"/>
      <c r="C64" s="9"/>
      <c r="D64" s="9"/>
      <c r="E64" s="9"/>
      <c r="F64" s="25" t="str">
        <f t="shared" ref="F64:W64" si="40">IF(ISNUMBER(F8),IF((F8-F$5)&lt;=-2,8,IF((F8-F$5)=-1,4,IF((F8-F$5)=0,2,IF((F8-F$5)=1,1,IF((F8-F$5)=2,0,-1))))),"")</f>
        <v/>
      </c>
      <c r="G64" s="25" t="str">
        <f t="shared" si="40"/>
        <v/>
      </c>
      <c r="H64" s="25" t="str">
        <f t="shared" si="40"/>
        <v/>
      </c>
      <c r="I64" s="25" t="str">
        <f t="shared" si="40"/>
        <v/>
      </c>
      <c r="J64" s="25" t="str">
        <f t="shared" si="40"/>
        <v/>
      </c>
      <c r="K64" s="25" t="str">
        <f t="shared" si="40"/>
        <v/>
      </c>
      <c r="L64" s="25" t="str">
        <f t="shared" si="40"/>
        <v/>
      </c>
      <c r="M64" s="25" t="str">
        <f t="shared" si="40"/>
        <v/>
      </c>
      <c r="N64" s="25" t="str">
        <f t="shared" si="40"/>
        <v/>
      </c>
      <c r="O64" s="25" t="str">
        <f t="shared" si="40"/>
        <v/>
      </c>
      <c r="P64" s="25" t="str">
        <f t="shared" si="40"/>
        <v/>
      </c>
      <c r="Q64" s="25" t="str">
        <f t="shared" si="40"/>
        <v/>
      </c>
      <c r="R64" s="25" t="str">
        <f t="shared" si="40"/>
        <v/>
      </c>
      <c r="S64" s="25" t="str">
        <f t="shared" si="40"/>
        <v/>
      </c>
      <c r="T64" s="25" t="str">
        <f t="shared" si="40"/>
        <v/>
      </c>
      <c r="U64" s="25" t="str">
        <f t="shared" si="40"/>
        <v/>
      </c>
      <c r="V64" s="25" t="str">
        <f t="shared" si="40"/>
        <v/>
      </c>
      <c r="W64" s="25" t="str">
        <f t="shared" si="40"/>
        <v/>
      </c>
      <c r="X64" s="9"/>
      <c r="Y64" s="9"/>
      <c r="Z64" s="9"/>
      <c r="AA64" s="9"/>
      <c r="AB64" s="9"/>
      <c r="AC64" s="9"/>
      <c r="AD64" s="9"/>
      <c r="AE64" s="9"/>
    </row>
    <row r="65" spans="1:31" x14ac:dyDescent="0.2">
      <c r="A65" s="49" t="str">
        <f t="shared" si="39"/>
        <v>Marc Wydom</v>
      </c>
      <c r="B65" s="9"/>
      <c r="C65" s="9"/>
      <c r="D65" s="9"/>
      <c r="E65" s="9"/>
      <c r="F65" s="25" t="str">
        <f t="shared" ref="F65:W65" si="41">IF(ISNUMBER(F9),IF((F9-F$5)&lt;=-2,8,IF((F9-F$5)=-1,4,IF((F9-F$5)=0,2,IF((F9-F$5)=1,1,IF((F9-F$5)=2,0,-1))))),"")</f>
        <v/>
      </c>
      <c r="G65" s="25" t="str">
        <f t="shared" si="41"/>
        <v/>
      </c>
      <c r="H65" s="25" t="str">
        <f t="shared" si="41"/>
        <v/>
      </c>
      <c r="I65" s="25" t="str">
        <f t="shared" si="41"/>
        <v/>
      </c>
      <c r="J65" s="25" t="str">
        <f t="shared" si="41"/>
        <v/>
      </c>
      <c r="K65" s="25" t="str">
        <f t="shared" si="41"/>
        <v/>
      </c>
      <c r="L65" s="25" t="str">
        <f t="shared" si="41"/>
        <v/>
      </c>
      <c r="M65" s="25" t="str">
        <f t="shared" si="41"/>
        <v/>
      </c>
      <c r="N65" s="25" t="str">
        <f t="shared" si="41"/>
        <v/>
      </c>
      <c r="O65" s="25" t="str">
        <f t="shared" si="41"/>
        <v/>
      </c>
      <c r="P65" s="25" t="str">
        <f t="shared" si="41"/>
        <v/>
      </c>
      <c r="Q65" s="25" t="str">
        <f t="shared" si="41"/>
        <v/>
      </c>
      <c r="R65" s="25" t="str">
        <f t="shared" si="41"/>
        <v/>
      </c>
      <c r="S65" s="25" t="str">
        <f t="shared" si="41"/>
        <v/>
      </c>
      <c r="T65" s="25" t="str">
        <f t="shared" si="41"/>
        <v/>
      </c>
      <c r="U65" s="25" t="str">
        <f t="shared" si="41"/>
        <v/>
      </c>
      <c r="V65" s="25" t="str">
        <f t="shared" si="41"/>
        <v/>
      </c>
      <c r="W65" s="25" t="str">
        <f t="shared" si="41"/>
        <v/>
      </c>
      <c r="X65" s="9"/>
      <c r="Y65" s="9"/>
      <c r="Z65" s="9"/>
      <c r="AA65" s="9"/>
      <c r="AB65" s="9"/>
      <c r="AC65" s="9"/>
      <c r="AD65" s="9"/>
      <c r="AE65" s="9"/>
    </row>
    <row r="66" spans="1:31" x14ac:dyDescent="0.2">
      <c r="A66" s="49" t="str">
        <f t="shared" si="39"/>
        <v>Donnie Muller</v>
      </c>
      <c r="B66" s="9"/>
      <c r="C66" s="9"/>
      <c r="D66" s="9"/>
      <c r="E66" s="9"/>
      <c r="F66" s="25" t="str">
        <f t="shared" ref="F66:W66" si="42">IF(ISNUMBER(F10),IF((F10-F$5)&lt;=-2,8,IF((F10-F$5)=-1,4,IF((F10-F$5)=0,2,IF((F10-F$5)=1,1,IF((F10-F$5)=2,0,-1))))),"")</f>
        <v/>
      </c>
      <c r="G66" s="25" t="str">
        <f t="shared" si="42"/>
        <v/>
      </c>
      <c r="H66" s="25" t="str">
        <f t="shared" si="42"/>
        <v/>
      </c>
      <c r="I66" s="25" t="str">
        <f t="shared" si="42"/>
        <v/>
      </c>
      <c r="J66" s="25" t="str">
        <f t="shared" si="42"/>
        <v/>
      </c>
      <c r="K66" s="25" t="str">
        <f t="shared" si="42"/>
        <v/>
      </c>
      <c r="L66" s="25" t="str">
        <f t="shared" si="42"/>
        <v/>
      </c>
      <c r="M66" s="25" t="str">
        <f t="shared" si="42"/>
        <v/>
      </c>
      <c r="N66" s="25" t="str">
        <f t="shared" si="42"/>
        <v/>
      </c>
      <c r="O66" s="25" t="str">
        <f t="shared" si="42"/>
        <v/>
      </c>
      <c r="P66" s="25" t="str">
        <f t="shared" si="42"/>
        <v/>
      </c>
      <c r="Q66" s="25" t="str">
        <f t="shared" si="42"/>
        <v/>
      </c>
      <c r="R66" s="25" t="str">
        <f t="shared" si="42"/>
        <v/>
      </c>
      <c r="S66" s="25" t="str">
        <f t="shared" si="42"/>
        <v/>
      </c>
      <c r="T66" s="25" t="str">
        <f t="shared" si="42"/>
        <v/>
      </c>
      <c r="U66" s="25" t="str">
        <f t="shared" si="42"/>
        <v/>
      </c>
      <c r="V66" s="25" t="str">
        <f t="shared" si="42"/>
        <v/>
      </c>
      <c r="W66" s="25" t="str">
        <f t="shared" si="42"/>
        <v/>
      </c>
      <c r="X66" s="9"/>
      <c r="Y66" s="9"/>
      <c r="Z66" s="9"/>
      <c r="AA66" s="9"/>
      <c r="AB66" s="9"/>
      <c r="AC66" s="9"/>
      <c r="AD66" s="9"/>
      <c r="AE66" s="9"/>
    </row>
    <row r="67" spans="1:31" x14ac:dyDescent="0.2">
      <c r="A67" s="49" t="str">
        <f t="shared" si="39"/>
        <v>Tommy Duncan</v>
      </c>
      <c r="B67" s="9"/>
      <c r="C67" s="9"/>
      <c r="D67" s="9"/>
      <c r="E67" s="9"/>
      <c r="F67" s="25" t="str">
        <f t="shared" ref="F67:W67" si="43">IF(ISNUMBER(F11),IF((F11-F$5)&lt;=-2,8,IF((F11-F$5)=-1,4,IF((F11-F$5)=0,2,IF((F11-F$5)=1,1,IF((F11-F$5)=2,0,-1))))),"")</f>
        <v/>
      </c>
      <c r="G67" s="25" t="str">
        <f t="shared" si="43"/>
        <v/>
      </c>
      <c r="H67" s="25" t="str">
        <f t="shared" si="43"/>
        <v/>
      </c>
      <c r="I67" s="25" t="str">
        <f t="shared" si="43"/>
        <v/>
      </c>
      <c r="J67" s="25" t="str">
        <f t="shared" si="43"/>
        <v/>
      </c>
      <c r="K67" s="25" t="str">
        <f t="shared" si="43"/>
        <v/>
      </c>
      <c r="L67" s="25" t="str">
        <f t="shared" si="43"/>
        <v/>
      </c>
      <c r="M67" s="25" t="str">
        <f t="shared" si="43"/>
        <v/>
      </c>
      <c r="N67" s="25" t="str">
        <f t="shared" si="43"/>
        <v/>
      </c>
      <c r="O67" s="25" t="str">
        <f t="shared" si="43"/>
        <v/>
      </c>
      <c r="P67" s="25" t="str">
        <f t="shared" si="43"/>
        <v/>
      </c>
      <c r="Q67" s="25" t="str">
        <f t="shared" si="43"/>
        <v/>
      </c>
      <c r="R67" s="25" t="str">
        <f t="shared" si="43"/>
        <v/>
      </c>
      <c r="S67" s="25" t="str">
        <f t="shared" si="43"/>
        <v/>
      </c>
      <c r="T67" s="25" t="str">
        <f t="shared" si="43"/>
        <v/>
      </c>
      <c r="U67" s="25" t="str">
        <f t="shared" si="43"/>
        <v/>
      </c>
      <c r="V67" s="25" t="str">
        <f t="shared" si="43"/>
        <v/>
      </c>
      <c r="W67" s="25" t="str">
        <f t="shared" si="43"/>
        <v/>
      </c>
      <c r="X67" s="9"/>
      <c r="Y67" s="9"/>
      <c r="Z67" s="9"/>
      <c r="AA67" s="9"/>
      <c r="AB67" s="9"/>
      <c r="AC67" s="9"/>
      <c r="AD67" s="9"/>
      <c r="AE67" s="9"/>
    </row>
    <row r="68" spans="1:31" x14ac:dyDescent="0.2">
      <c r="A68" s="49" t="str">
        <f t="shared" si="39"/>
        <v>Jason Kimbo</v>
      </c>
      <c r="B68" s="9"/>
      <c r="C68" s="9"/>
      <c r="D68" s="9"/>
      <c r="E68" s="9"/>
      <c r="F68" s="25" t="str">
        <f t="shared" ref="F68:W68" si="44">IF(ISNUMBER(F12),IF((F12-F$5)&lt;=-2,8,IF((F12-F$5)=-1,4,IF((F12-F$5)=0,2,IF((F12-F$5)=1,1,IF((F12-F$5)=2,0,-1))))),"")</f>
        <v/>
      </c>
      <c r="G68" s="25" t="str">
        <f t="shared" si="44"/>
        <v/>
      </c>
      <c r="H68" s="25" t="str">
        <f t="shared" si="44"/>
        <v/>
      </c>
      <c r="I68" s="25" t="str">
        <f t="shared" si="44"/>
        <v/>
      </c>
      <c r="J68" s="25" t="str">
        <f t="shared" si="44"/>
        <v/>
      </c>
      <c r="K68" s="25" t="str">
        <f t="shared" si="44"/>
        <v/>
      </c>
      <c r="L68" s="25" t="str">
        <f t="shared" si="44"/>
        <v/>
      </c>
      <c r="M68" s="25" t="str">
        <f t="shared" si="44"/>
        <v/>
      </c>
      <c r="N68" s="25" t="str">
        <f t="shared" si="44"/>
        <v/>
      </c>
      <c r="O68" s="25" t="str">
        <f t="shared" si="44"/>
        <v/>
      </c>
      <c r="P68" s="25" t="str">
        <f t="shared" si="44"/>
        <v/>
      </c>
      <c r="Q68" s="25" t="str">
        <f t="shared" si="44"/>
        <v/>
      </c>
      <c r="R68" s="25" t="str">
        <f t="shared" si="44"/>
        <v/>
      </c>
      <c r="S68" s="25" t="str">
        <f t="shared" si="44"/>
        <v/>
      </c>
      <c r="T68" s="25" t="str">
        <f t="shared" si="44"/>
        <v/>
      </c>
      <c r="U68" s="25" t="str">
        <f t="shared" si="44"/>
        <v/>
      </c>
      <c r="V68" s="25" t="str">
        <f t="shared" si="44"/>
        <v/>
      </c>
      <c r="W68" s="25" t="str">
        <f t="shared" si="44"/>
        <v/>
      </c>
      <c r="X68" s="9"/>
      <c r="Y68" s="9"/>
      <c r="Z68" s="9"/>
      <c r="AA68" s="9"/>
      <c r="AB68" s="9"/>
      <c r="AC68" s="9"/>
      <c r="AD68" s="9"/>
      <c r="AE68" s="9"/>
    </row>
    <row r="69" spans="1:31" x14ac:dyDescent="0.2">
      <c r="A69" s="49" t="str">
        <f t="shared" si="39"/>
        <v>Spencer Friend</v>
      </c>
      <c r="B69" s="9"/>
      <c r="C69" s="9"/>
      <c r="D69" s="9"/>
      <c r="E69" s="9"/>
      <c r="F69" s="25" t="str">
        <f t="shared" ref="F69:W69" si="45">IF(ISNUMBER(F13),IF((F13-F$5)&lt;=-2,8,IF((F13-F$5)=-1,4,IF((F13-F$5)=0,2,IF((F13-F$5)=1,1,IF((F13-F$5)=2,0,-1))))),"")</f>
        <v/>
      </c>
      <c r="G69" s="25" t="str">
        <f t="shared" si="45"/>
        <v/>
      </c>
      <c r="H69" s="25" t="str">
        <f t="shared" si="45"/>
        <v/>
      </c>
      <c r="I69" s="25" t="str">
        <f t="shared" si="45"/>
        <v/>
      </c>
      <c r="J69" s="25" t="str">
        <f t="shared" si="45"/>
        <v/>
      </c>
      <c r="K69" s="25" t="str">
        <f t="shared" si="45"/>
        <v/>
      </c>
      <c r="L69" s="25" t="str">
        <f t="shared" si="45"/>
        <v/>
      </c>
      <c r="M69" s="25" t="str">
        <f t="shared" si="45"/>
        <v/>
      </c>
      <c r="N69" s="25" t="str">
        <f t="shared" si="45"/>
        <v/>
      </c>
      <c r="O69" s="25" t="str">
        <f t="shared" si="45"/>
        <v/>
      </c>
      <c r="P69" s="25" t="str">
        <f t="shared" si="45"/>
        <v/>
      </c>
      <c r="Q69" s="25" t="str">
        <f t="shared" si="45"/>
        <v/>
      </c>
      <c r="R69" s="25" t="str">
        <f t="shared" si="45"/>
        <v/>
      </c>
      <c r="S69" s="25" t="str">
        <f t="shared" si="45"/>
        <v/>
      </c>
      <c r="T69" s="25" t="str">
        <f t="shared" si="45"/>
        <v/>
      </c>
      <c r="U69" s="25" t="str">
        <f t="shared" si="45"/>
        <v/>
      </c>
      <c r="V69" s="25" t="str">
        <f t="shared" si="45"/>
        <v/>
      </c>
      <c r="W69" s="25" t="str">
        <f t="shared" si="45"/>
        <v/>
      </c>
      <c r="X69" s="9"/>
      <c r="Y69" s="9"/>
      <c r="Z69" s="9"/>
      <c r="AA69" s="9"/>
      <c r="AB69" s="9"/>
      <c r="AC69" s="9"/>
      <c r="AD69" s="9"/>
      <c r="AE69" s="9"/>
    </row>
    <row r="70" spans="1:31" x14ac:dyDescent="0.2">
      <c r="A70" s="49" t="str">
        <f t="shared" si="39"/>
        <v>Ben Young</v>
      </c>
      <c r="B70" s="9"/>
      <c r="C70" s="9"/>
      <c r="D70" s="9"/>
      <c r="E70" s="9"/>
      <c r="F70" s="25" t="str">
        <f t="shared" ref="F70:W70" si="46">IF(ISNUMBER(F14),IF((F14-F$5)&lt;=-2,8,IF((F14-F$5)=-1,4,IF((F14-F$5)=0,2,IF((F14-F$5)=1,1,IF((F14-F$5)=2,0,-1))))),"")</f>
        <v/>
      </c>
      <c r="G70" s="25" t="str">
        <f t="shared" si="46"/>
        <v/>
      </c>
      <c r="H70" s="25" t="str">
        <f t="shared" si="46"/>
        <v/>
      </c>
      <c r="I70" s="25" t="str">
        <f t="shared" si="46"/>
        <v/>
      </c>
      <c r="J70" s="25" t="str">
        <f t="shared" si="46"/>
        <v/>
      </c>
      <c r="K70" s="25" t="str">
        <f t="shared" si="46"/>
        <v/>
      </c>
      <c r="L70" s="25" t="str">
        <f t="shared" si="46"/>
        <v/>
      </c>
      <c r="M70" s="25" t="str">
        <f t="shared" si="46"/>
        <v/>
      </c>
      <c r="N70" s="25" t="str">
        <f t="shared" si="46"/>
        <v/>
      </c>
      <c r="O70" s="25" t="str">
        <f t="shared" si="46"/>
        <v/>
      </c>
      <c r="P70" s="25" t="str">
        <f t="shared" si="46"/>
        <v/>
      </c>
      <c r="Q70" s="25" t="str">
        <f t="shared" si="46"/>
        <v/>
      </c>
      <c r="R70" s="25" t="str">
        <f t="shared" si="46"/>
        <v/>
      </c>
      <c r="S70" s="25" t="str">
        <f t="shared" si="46"/>
        <v/>
      </c>
      <c r="T70" s="25" t="str">
        <f t="shared" si="46"/>
        <v/>
      </c>
      <c r="U70" s="25" t="str">
        <f t="shared" si="46"/>
        <v/>
      </c>
      <c r="V70" s="25" t="str">
        <f t="shared" si="46"/>
        <v/>
      </c>
      <c r="W70" s="25" t="str">
        <f t="shared" si="46"/>
        <v/>
      </c>
      <c r="X70" s="9"/>
      <c r="Y70" s="9"/>
      <c r="Z70" s="9"/>
      <c r="AA70" s="9"/>
      <c r="AB70" s="9"/>
      <c r="AC70" s="9"/>
      <c r="AD70" s="9"/>
      <c r="AE70" s="9"/>
    </row>
    <row r="71" spans="1:31" x14ac:dyDescent="0.2">
      <c r="A71" s="49" t="str">
        <f t="shared" si="39"/>
        <v>Justin Conrad</v>
      </c>
      <c r="B71" s="9"/>
      <c r="C71" s="9"/>
      <c r="D71" s="9"/>
      <c r="E71" s="9"/>
      <c r="F71" s="25" t="str">
        <f t="shared" ref="F71:W71" si="47">IF(ISNUMBER(F15),IF((F15-F$5)&lt;=-2,8,IF((F15-F$5)=-1,4,IF((F15-F$5)=0,2,IF((F15-F$5)=1,1,IF((F15-F$5)=2,0,-1))))),"")</f>
        <v/>
      </c>
      <c r="G71" s="25" t="str">
        <f t="shared" si="47"/>
        <v/>
      </c>
      <c r="H71" s="25" t="str">
        <f t="shared" si="47"/>
        <v/>
      </c>
      <c r="I71" s="25" t="str">
        <f t="shared" si="47"/>
        <v/>
      </c>
      <c r="J71" s="25" t="str">
        <f t="shared" si="47"/>
        <v/>
      </c>
      <c r="K71" s="25" t="str">
        <f t="shared" si="47"/>
        <v/>
      </c>
      <c r="L71" s="25" t="str">
        <f t="shared" si="47"/>
        <v/>
      </c>
      <c r="M71" s="25" t="str">
        <f t="shared" si="47"/>
        <v/>
      </c>
      <c r="N71" s="25" t="str">
        <f t="shared" si="47"/>
        <v/>
      </c>
      <c r="O71" s="25" t="str">
        <f t="shared" si="47"/>
        <v/>
      </c>
      <c r="P71" s="25" t="str">
        <f t="shared" si="47"/>
        <v/>
      </c>
      <c r="Q71" s="25" t="str">
        <f t="shared" si="47"/>
        <v/>
      </c>
      <c r="R71" s="25" t="str">
        <f t="shared" si="47"/>
        <v/>
      </c>
      <c r="S71" s="25" t="str">
        <f t="shared" si="47"/>
        <v/>
      </c>
      <c r="T71" s="25" t="str">
        <f t="shared" si="47"/>
        <v/>
      </c>
      <c r="U71" s="25" t="str">
        <f t="shared" si="47"/>
        <v/>
      </c>
      <c r="V71" s="25" t="str">
        <f t="shared" si="47"/>
        <v/>
      </c>
      <c r="W71" s="25" t="str">
        <f t="shared" si="47"/>
        <v/>
      </c>
      <c r="X71" s="9"/>
      <c r="Y71" s="9"/>
      <c r="Z71" s="9"/>
      <c r="AA71" s="9"/>
      <c r="AB71" s="9"/>
      <c r="AC71" s="9"/>
      <c r="AD71" s="9"/>
      <c r="AE71" s="9"/>
    </row>
    <row r="72" spans="1:31" x14ac:dyDescent="0.2">
      <c r="A72" s="49" t="str">
        <f t="shared" si="39"/>
        <v>Shawn McMaster</v>
      </c>
      <c r="B72" s="9"/>
      <c r="C72" s="9"/>
      <c r="D72" s="9"/>
      <c r="E72" s="9"/>
      <c r="F72" s="25" t="str">
        <f t="shared" ref="F72:W72" si="48">IF(ISNUMBER(F16),IF((F16-F$5)&lt;=-2,8,IF((F16-F$5)=-1,4,IF((F16-F$5)=0,2,IF((F16-F$5)=1,1,IF((F16-F$5)=2,0,-1))))),"")</f>
        <v/>
      </c>
      <c r="G72" s="25" t="str">
        <f t="shared" si="48"/>
        <v/>
      </c>
      <c r="H72" s="25" t="str">
        <f t="shared" si="48"/>
        <v/>
      </c>
      <c r="I72" s="25" t="str">
        <f t="shared" si="48"/>
        <v/>
      </c>
      <c r="J72" s="25" t="str">
        <f t="shared" si="48"/>
        <v/>
      </c>
      <c r="K72" s="25" t="str">
        <f t="shared" si="48"/>
        <v/>
      </c>
      <c r="L72" s="25" t="str">
        <f t="shared" si="48"/>
        <v/>
      </c>
      <c r="M72" s="25" t="str">
        <f t="shared" si="48"/>
        <v/>
      </c>
      <c r="N72" s="25" t="str">
        <f t="shared" si="48"/>
        <v/>
      </c>
      <c r="O72" s="25" t="str">
        <f t="shared" si="48"/>
        <v/>
      </c>
      <c r="P72" s="25" t="str">
        <f t="shared" si="48"/>
        <v/>
      </c>
      <c r="Q72" s="25" t="str">
        <f t="shared" si="48"/>
        <v/>
      </c>
      <c r="R72" s="25" t="str">
        <f t="shared" si="48"/>
        <v/>
      </c>
      <c r="S72" s="25" t="str">
        <f t="shared" si="48"/>
        <v/>
      </c>
      <c r="T72" s="25" t="str">
        <f t="shared" si="48"/>
        <v/>
      </c>
      <c r="U72" s="25" t="str">
        <f t="shared" si="48"/>
        <v/>
      </c>
      <c r="V72" s="25" t="str">
        <f t="shared" si="48"/>
        <v/>
      </c>
      <c r="W72" s="25" t="str">
        <f t="shared" si="48"/>
        <v/>
      </c>
      <c r="X72" s="9"/>
      <c r="Y72" s="9"/>
      <c r="Z72" s="9"/>
      <c r="AA72" s="9"/>
      <c r="AB72" s="9"/>
      <c r="AC72" s="9"/>
      <c r="AD72" s="9"/>
      <c r="AE72" s="9"/>
    </row>
    <row r="73" spans="1:31" x14ac:dyDescent="0.2">
      <c r="A73" s="49" t="str">
        <f t="shared" si="39"/>
        <v>Ian Dempsey</v>
      </c>
      <c r="B73" s="9"/>
      <c r="C73" s="9"/>
      <c r="D73" s="9"/>
      <c r="E73" s="9"/>
      <c r="F73" s="25" t="str">
        <f t="shared" ref="F73:W73" si="49">IF(ISNUMBER(F17),IF((F17-F$5)&lt;=-2,8,IF((F17-F$5)=-1,4,IF((F17-F$5)=0,2,IF((F17-F$5)=1,1,IF((F17-F$5)=2,0,-1))))),"")</f>
        <v/>
      </c>
      <c r="G73" s="25" t="str">
        <f t="shared" si="49"/>
        <v/>
      </c>
      <c r="H73" s="25" t="str">
        <f t="shared" si="49"/>
        <v/>
      </c>
      <c r="I73" s="25" t="str">
        <f t="shared" si="49"/>
        <v/>
      </c>
      <c r="J73" s="25" t="str">
        <f t="shared" si="49"/>
        <v/>
      </c>
      <c r="K73" s="25" t="str">
        <f t="shared" si="49"/>
        <v/>
      </c>
      <c r="L73" s="25" t="str">
        <f t="shared" si="49"/>
        <v/>
      </c>
      <c r="M73" s="25" t="str">
        <f t="shared" si="49"/>
        <v/>
      </c>
      <c r="N73" s="25" t="str">
        <f t="shared" si="49"/>
        <v/>
      </c>
      <c r="O73" s="25" t="str">
        <f t="shared" si="49"/>
        <v/>
      </c>
      <c r="P73" s="25" t="str">
        <f t="shared" si="49"/>
        <v/>
      </c>
      <c r="Q73" s="25" t="str">
        <f t="shared" si="49"/>
        <v/>
      </c>
      <c r="R73" s="25" t="str">
        <f t="shared" si="49"/>
        <v/>
      </c>
      <c r="S73" s="25" t="str">
        <f t="shared" si="49"/>
        <v/>
      </c>
      <c r="T73" s="25" t="str">
        <f t="shared" si="49"/>
        <v/>
      </c>
      <c r="U73" s="25" t="str">
        <f t="shared" si="49"/>
        <v/>
      </c>
      <c r="V73" s="25" t="str">
        <f t="shared" si="49"/>
        <v/>
      </c>
      <c r="W73" s="25" t="str">
        <f t="shared" si="49"/>
        <v/>
      </c>
      <c r="X73" s="9"/>
      <c r="Y73" s="9"/>
      <c r="Z73" s="9"/>
      <c r="AA73" s="9"/>
      <c r="AB73" s="9"/>
      <c r="AC73" s="9"/>
      <c r="AD73" s="9"/>
      <c r="AE73" s="9"/>
    </row>
    <row r="74" spans="1:31" x14ac:dyDescent="0.2">
      <c r="A74" s="49" t="str">
        <f t="shared" si="39"/>
        <v>Nick Roy</v>
      </c>
      <c r="B74" s="9"/>
      <c r="C74" s="9"/>
      <c r="D74" s="9"/>
      <c r="E74" s="9"/>
      <c r="F74" s="25" t="str">
        <f t="shared" ref="F74:W74" si="50">IF(ISNUMBER(F18),IF((F18-F$5)&lt;=-2,8,IF((F18-F$5)=-1,4,IF((F18-F$5)=0,2,IF((F18-F$5)=1,1,IF((F18-F$5)=2,0,-1))))),"")</f>
        <v/>
      </c>
      <c r="G74" s="25" t="str">
        <f t="shared" si="50"/>
        <v/>
      </c>
      <c r="H74" s="25" t="str">
        <f t="shared" si="50"/>
        <v/>
      </c>
      <c r="I74" s="25" t="str">
        <f t="shared" si="50"/>
        <v/>
      </c>
      <c r="J74" s="25" t="str">
        <f t="shared" si="50"/>
        <v/>
      </c>
      <c r="K74" s="25" t="str">
        <f t="shared" si="50"/>
        <v/>
      </c>
      <c r="L74" s="25" t="str">
        <f t="shared" si="50"/>
        <v/>
      </c>
      <c r="M74" s="25" t="str">
        <f t="shared" si="50"/>
        <v/>
      </c>
      <c r="N74" s="25" t="str">
        <f t="shared" si="50"/>
        <v/>
      </c>
      <c r="O74" s="25" t="str">
        <f t="shared" si="50"/>
        <v/>
      </c>
      <c r="P74" s="25" t="str">
        <f t="shared" si="50"/>
        <v/>
      </c>
      <c r="Q74" s="25" t="str">
        <f t="shared" si="50"/>
        <v/>
      </c>
      <c r="R74" s="25" t="str">
        <f t="shared" si="50"/>
        <v/>
      </c>
      <c r="S74" s="25" t="str">
        <f t="shared" si="50"/>
        <v/>
      </c>
      <c r="T74" s="25" t="str">
        <f t="shared" si="50"/>
        <v/>
      </c>
      <c r="U74" s="25" t="str">
        <f t="shared" si="50"/>
        <v/>
      </c>
      <c r="V74" s="25" t="str">
        <f t="shared" si="50"/>
        <v/>
      </c>
      <c r="W74" s="25" t="str">
        <f t="shared" si="50"/>
        <v/>
      </c>
      <c r="X74" s="9"/>
      <c r="Y74" s="9"/>
      <c r="Z74" s="9"/>
      <c r="AA74" s="9"/>
      <c r="AB74" s="9"/>
      <c r="AC74" s="9"/>
      <c r="AD74" s="9"/>
      <c r="AE74" s="9"/>
    </row>
    <row r="75" spans="1:31" x14ac:dyDescent="0.2">
      <c r="A75" s="49" t="str">
        <f t="shared" si="39"/>
        <v>Henry Holst</v>
      </c>
      <c r="B75" s="9"/>
      <c r="C75" s="9"/>
      <c r="D75" s="9"/>
      <c r="E75" s="9"/>
      <c r="F75" s="25" t="str">
        <f t="shared" ref="F75:W75" si="51">IF(ISNUMBER(F19),IF((F19-F$5)&lt;=-2,8,IF((F19-F$5)=-1,4,IF((F19-F$5)=0,2,IF((F19-F$5)=1,1,IF((F19-F$5)=2,0,-1))))),"")</f>
        <v/>
      </c>
      <c r="G75" s="25" t="str">
        <f t="shared" si="51"/>
        <v/>
      </c>
      <c r="H75" s="25" t="str">
        <f t="shared" si="51"/>
        <v/>
      </c>
      <c r="I75" s="25" t="str">
        <f t="shared" si="51"/>
        <v/>
      </c>
      <c r="J75" s="25" t="str">
        <f t="shared" si="51"/>
        <v/>
      </c>
      <c r="K75" s="25" t="str">
        <f t="shared" si="51"/>
        <v/>
      </c>
      <c r="L75" s="25" t="str">
        <f t="shared" si="51"/>
        <v/>
      </c>
      <c r="M75" s="25" t="str">
        <f t="shared" si="51"/>
        <v/>
      </c>
      <c r="N75" s="25" t="str">
        <f t="shared" si="51"/>
        <v/>
      </c>
      <c r="O75" s="25" t="str">
        <f t="shared" si="51"/>
        <v/>
      </c>
      <c r="P75" s="25" t="str">
        <f t="shared" si="51"/>
        <v/>
      </c>
      <c r="Q75" s="25" t="str">
        <f t="shared" si="51"/>
        <v/>
      </c>
      <c r="R75" s="25" t="str">
        <f t="shared" si="51"/>
        <v/>
      </c>
      <c r="S75" s="25" t="str">
        <f t="shared" si="51"/>
        <v/>
      </c>
      <c r="T75" s="25" t="str">
        <f t="shared" si="51"/>
        <v/>
      </c>
      <c r="U75" s="25" t="str">
        <f t="shared" si="51"/>
        <v/>
      </c>
      <c r="V75" s="25" t="str">
        <f t="shared" si="51"/>
        <v/>
      </c>
      <c r="W75" s="25" t="str">
        <f t="shared" si="51"/>
        <v/>
      </c>
      <c r="X75" s="9"/>
      <c r="Y75" s="9"/>
      <c r="Z75" s="9"/>
      <c r="AA75" s="9"/>
      <c r="AB75" s="9"/>
      <c r="AC75" s="9"/>
      <c r="AD75" s="9"/>
      <c r="AE75" s="9"/>
    </row>
    <row r="76" spans="1:31" x14ac:dyDescent="0.2">
      <c r="A76" s="49" t="str">
        <f t="shared" si="39"/>
        <v>Chad Stone</v>
      </c>
      <c r="B76" s="9"/>
      <c r="C76" s="9"/>
      <c r="D76" s="9"/>
      <c r="E76" s="9"/>
      <c r="F76" s="25" t="str">
        <f t="shared" ref="F76:W76" si="52">IF(ISNUMBER(F20),IF((F20-F$5)&lt;=-2,8,IF((F20-F$5)=-1,4,IF((F20-F$5)=0,2,IF((F20-F$5)=1,1,IF((F20-F$5)=2,0,-1))))),"")</f>
        <v/>
      </c>
      <c r="G76" s="25" t="str">
        <f t="shared" si="52"/>
        <v/>
      </c>
      <c r="H76" s="25" t="str">
        <f t="shared" si="52"/>
        <v/>
      </c>
      <c r="I76" s="25" t="str">
        <f t="shared" si="52"/>
        <v/>
      </c>
      <c r="J76" s="25" t="str">
        <f t="shared" si="52"/>
        <v/>
      </c>
      <c r="K76" s="25" t="str">
        <f t="shared" si="52"/>
        <v/>
      </c>
      <c r="L76" s="25" t="str">
        <f t="shared" si="52"/>
        <v/>
      </c>
      <c r="M76" s="25" t="str">
        <f t="shared" si="52"/>
        <v/>
      </c>
      <c r="N76" s="25" t="str">
        <f t="shared" si="52"/>
        <v/>
      </c>
      <c r="O76" s="25" t="str">
        <f t="shared" si="52"/>
        <v/>
      </c>
      <c r="P76" s="25" t="str">
        <f t="shared" si="52"/>
        <v/>
      </c>
      <c r="Q76" s="25" t="str">
        <f t="shared" si="52"/>
        <v/>
      </c>
      <c r="R76" s="25" t="str">
        <f t="shared" si="52"/>
        <v/>
      </c>
      <c r="S76" s="25" t="str">
        <f t="shared" si="52"/>
        <v/>
      </c>
      <c r="T76" s="25" t="str">
        <f t="shared" si="52"/>
        <v/>
      </c>
      <c r="U76" s="25" t="str">
        <f t="shared" si="52"/>
        <v/>
      </c>
      <c r="V76" s="25" t="str">
        <f t="shared" si="52"/>
        <v/>
      </c>
      <c r="W76" s="25" t="str">
        <f t="shared" si="52"/>
        <v/>
      </c>
      <c r="X76" s="9"/>
      <c r="Y76" s="9"/>
      <c r="Z76" s="9"/>
      <c r="AA76" s="9"/>
      <c r="AB76" s="9"/>
      <c r="AC76" s="9"/>
      <c r="AD76" s="9"/>
      <c r="AE76" s="9"/>
    </row>
    <row r="77" spans="1:31" x14ac:dyDescent="0.2">
      <c r="A77" s="49" t="str">
        <f t="shared" si="39"/>
        <v>Tom Devine</v>
      </c>
      <c r="B77" s="9"/>
      <c r="C77" s="9"/>
      <c r="D77" s="9"/>
      <c r="E77" s="9"/>
      <c r="F77" s="25" t="str">
        <f t="shared" ref="F77:W77" si="53">IF(ISNUMBER(F21),IF((F21-F$5)&lt;=-2,8,IF((F21-F$5)=-1,4,IF((F21-F$5)=0,2,IF((F21-F$5)=1,1,IF((F21-F$5)=2,0,-1))))),"")</f>
        <v/>
      </c>
      <c r="G77" s="25" t="str">
        <f t="shared" si="53"/>
        <v/>
      </c>
      <c r="H77" s="25" t="str">
        <f t="shared" si="53"/>
        <v/>
      </c>
      <c r="I77" s="25" t="str">
        <f t="shared" si="53"/>
        <v/>
      </c>
      <c r="J77" s="25" t="str">
        <f t="shared" si="53"/>
        <v/>
      </c>
      <c r="K77" s="25" t="str">
        <f t="shared" si="53"/>
        <v/>
      </c>
      <c r="L77" s="25" t="str">
        <f t="shared" si="53"/>
        <v/>
      </c>
      <c r="M77" s="25" t="str">
        <f t="shared" si="53"/>
        <v/>
      </c>
      <c r="N77" s="25" t="str">
        <f t="shared" si="53"/>
        <v/>
      </c>
      <c r="O77" s="25" t="str">
        <f t="shared" si="53"/>
        <v/>
      </c>
      <c r="P77" s="25" t="str">
        <f t="shared" si="53"/>
        <v/>
      </c>
      <c r="Q77" s="25" t="str">
        <f t="shared" si="53"/>
        <v/>
      </c>
      <c r="R77" s="25" t="str">
        <f t="shared" si="53"/>
        <v/>
      </c>
      <c r="S77" s="25" t="str">
        <f t="shared" si="53"/>
        <v/>
      </c>
      <c r="T77" s="25" t="str">
        <f t="shared" si="53"/>
        <v/>
      </c>
      <c r="U77" s="25" t="str">
        <f t="shared" si="53"/>
        <v/>
      </c>
      <c r="V77" s="25" t="str">
        <f t="shared" si="53"/>
        <v/>
      </c>
      <c r="W77" s="25" t="str">
        <f t="shared" si="53"/>
        <v/>
      </c>
      <c r="X77" s="9"/>
      <c r="Y77" s="9"/>
      <c r="Z77" s="9"/>
      <c r="AA77" s="9"/>
      <c r="AB77" s="9"/>
      <c r="AC77" s="9"/>
      <c r="AD77" s="9"/>
      <c r="AE77" s="9"/>
    </row>
    <row r="78" spans="1:31" x14ac:dyDescent="0.2">
      <c r="A78" s="49" t="str">
        <f t="shared" si="39"/>
        <v>Mike Warenda</v>
      </c>
      <c r="B78" s="9"/>
      <c r="C78" s="9"/>
      <c r="D78" s="9"/>
      <c r="E78" s="9"/>
      <c r="F78" s="25" t="str">
        <f t="shared" ref="F78:W78" si="54">IF(ISNUMBER(F22),IF((F22-F$5)&lt;=-2,8,IF((F22-F$5)=-1,4,IF((F22-F$5)=0,2,IF((F22-F$5)=1,1,IF((F22-F$5)=2,0,-1))))),"")</f>
        <v/>
      </c>
      <c r="G78" s="25" t="str">
        <f t="shared" si="54"/>
        <v/>
      </c>
      <c r="H78" s="25" t="str">
        <f t="shared" si="54"/>
        <v/>
      </c>
      <c r="I78" s="25" t="str">
        <f t="shared" si="54"/>
        <v/>
      </c>
      <c r="J78" s="25" t="str">
        <f t="shared" si="54"/>
        <v/>
      </c>
      <c r="K78" s="25" t="str">
        <f t="shared" si="54"/>
        <v/>
      </c>
      <c r="L78" s="25" t="str">
        <f t="shared" si="54"/>
        <v/>
      </c>
      <c r="M78" s="25" t="str">
        <f t="shared" si="54"/>
        <v/>
      </c>
      <c r="N78" s="25" t="str">
        <f t="shared" si="54"/>
        <v/>
      </c>
      <c r="O78" s="25" t="str">
        <f t="shared" si="54"/>
        <v/>
      </c>
      <c r="P78" s="25" t="str">
        <f t="shared" si="54"/>
        <v/>
      </c>
      <c r="Q78" s="25" t="str">
        <f t="shared" si="54"/>
        <v/>
      </c>
      <c r="R78" s="25" t="str">
        <f t="shared" si="54"/>
        <v/>
      </c>
      <c r="S78" s="25" t="str">
        <f t="shared" si="54"/>
        <v/>
      </c>
      <c r="T78" s="25" t="str">
        <f t="shared" si="54"/>
        <v/>
      </c>
      <c r="U78" s="25" t="str">
        <f t="shared" si="54"/>
        <v/>
      </c>
      <c r="V78" s="25" t="str">
        <f t="shared" si="54"/>
        <v/>
      </c>
      <c r="W78" s="25" t="str">
        <f t="shared" si="54"/>
        <v/>
      </c>
      <c r="X78" s="9"/>
      <c r="Y78" s="9"/>
      <c r="Z78" s="9"/>
      <c r="AA78" s="9"/>
      <c r="AB78" s="9"/>
      <c r="AC78" s="9"/>
      <c r="AD78" s="9"/>
      <c r="AE78" s="9"/>
    </row>
    <row r="79" spans="1:31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spans="1:31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1:31" x14ac:dyDescent="0.2">
      <c r="A81" s="48" t="s">
        <v>115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1:31" x14ac:dyDescent="0.2">
      <c r="A82" s="58" t="s">
        <v>11</v>
      </c>
      <c r="B82" s="56"/>
      <c r="C82" s="56"/>
      <c r="D82" s="56"/>
      <c r="E82" s="57"/>
      <c r="F82" s="15">
        <v>1</v>
      </c>
      <c r="G82" s="15">
        <v>2</v>
      </c>
      <c r="H82" s="15">
        <v>3</v>
      </c>
      <c r="I82" s="15">
        <v>4</v>
      </c>
      <c r="J82" s="15">
        <v>5</v>
      </c>
      <c r="K82" s="15">
        <v>6</v>
      </c>
      <c r="L82" s="15">
        <v>7</v>
      </c>
      <c r="M82" s="15">
        <v>8</v>
      </c>
      <c r="N82" s="15">
        <v>9</v>
      </c>
      <c r="O82" s="15">
        <v>10</v>
      </c>
      <c r="P82" s="15">
        <v>11</v>
      </c>
      <c r="Q82" s="15">
        <v>12</v>
      </c>
      <c r="R82" s="15">
        <v>13</v>
      </c>
      <c r="S82" s="15">
        <v>14</v>
      </c>
      <c r="T82" s="15">
        <v>15</v>
      </c>
      <c r="U82" s="15">
        <v>16</v>
      </c>
      <c r="V82" s="15">
        <v>17</v>
      </c>
      <c r="W82" s="15">
        <v>18</v>
      </c>
      <c r="X82" s="15" t="s">
        <v>116</v>
      </c>
      <c r="Y82" s="15" t="s">
        <v>117</v>
      </c>
      <c r="Z82" s="15" t="s">
        <v>118</v>
      </c>
      <c r="AA82" s="9"/>
      <c r="AB82" s="9"/>
      <c r="AC82" s="9"/>
      <c r="AD82" s="9"/>
      <c r="AE82" s="9"/>
    </row>
    <row r="83" spans="1:31" x14ac:dyDescent="0.2">
      <c r="A83" s="55" t="str">
        <f>B8</f>
        <v>Team 2</v>
      </c>
      <c r="B83" s="56"/>
      <c r="C83" s="56"/>
      <c r="D83" s="56"/>
      <c r="E83" s="57"/>
      <c r="F83" s="12" t="str">
        <f t="shared" ref="F83:W83" si="55">IF(COUNT(F46:F48)&lt;2,"",SMALL(F46:F48,1)+SMALL(F46:F48,2))</f>
        <v/>
      </c>
      <c r="G83" s="12" t="str">
        <f t="shared" si="55"/>
        <v/>
      </c>
      <c r="H83" s="12" t="str">
        <f t="shared" si="55"/>
        <v/>
      </c>
      <c r="I83" s="12" t="str">
        <f t="shared" si="55"/>
        <v/>
      </c>
      <c r="J83" s="12" t="str">
        <f t="shared" si="55"/>
        <v/>
      </c>
      <c r="K83" s="12" t="str">
        <f t="shared" si="55"/>
        <v/>
      </c>
      <c r="L83" s="12" t="str">
        <f t="shared" si="55"/>
        <v/>
      </c>
      <c r="M83" s="12" t="str">
        <f t="shared" si="55"/>
        <v/>
      </c>
      <c r="N83" s="12" t="str">
        <f t="shared" si="55"/>
        <v/>
      </c>
      <c r="O83" s="12" t="str">
        <f t="shared" si="55"/>
        <v/>
      </c>
      <c r="P83" s="12" t="str">
        <f t="shared" si="55"/>
        <v/>
      </c>
      <c r="Q83" s="12" t="str">
        <f t="shared" si="55"/>
        <v/>
      </c>
      <c r="R83" s="12" t="str">
        <f t="shared" si="55"/>
        <v/>
      </c>
      <c r="S83" s="12" t="str">
        <f t="shared" si="55"/>
        <v/>
      </c>
      <c r="T83" s="12" t="str">
        <f t="shared" si="55"/>
        <v/>
      </c>
      <c r="U83" s="12" t="str">
        <f t="shared" si="55"/>
        <v/>
      </c>
      <c r="V83" s="12" t="str">
        <f t="shared" si="55"/>
        <v/>
      </c>
      <c r="W83" s="12" t="str">
        <f t="shared" si="55"/>
        <v/>
      </c>
      <c r="X83" s="12" t="str">
        <f>IF(COUNT(F83:W83)&lt;18,"",SUM(F83:W83))</f>
        <v/>
      </c>
      <c r="Y83" s="12" t="str">
        <f>IF(X83="","",COUNTIF($X$83:$X$87,"&lt;"&amp;X83)+1)</f>
        <v/>
      </c>
      <c r="Z83" s="38" t="str">
        <f ca="1">IF(X83="","",AVERAGE(OFFSET(Leaderboard!$B$5,Y83-1,0,COUNTIF($X$83:$X$87,X83),1)))</f>
        <v/>
      </c>
      <c r="AA83" s="9"/>
      <c r="AB83" s="9"/>
      <c r="AC83" s="9"/>
      <c r="AD83" s="9"/>
      <c r="AE83" s="9"/>
    </row>
    <row r="84" spans="1:31" x14ac:dyDescent="0.2">
      <c r="A84" s="55" t="str">
        <f>B11</f>
        <v>Skull it and Pray</v>
      </c>
      <c r="B84" s="56"/>
      <c r="C84" s="56"/>
      <c r="D84" s="56"/>
      <c r="E84" s="57"/>
      <c r="F84" s="12" t="str">
        <f t="shared" ref="F84:W84" si="56">IF(COUNT(F49:F51)&lt;2,"",SMALL(F49:F51,1)+SMALL(F49:F51,2))</f>
        <v/>
      </c>
      <c r="G84" s="12" t="str">
        <f t="shared" si="56"/>
        <v/>
      </c>
      <c r="H84" s="12" t="str">
        <f t="shared" si="56"/>
        <v/>
      </c>
      <c r="I84" s="12" t="str">
        <f t="shared" si="56"/>
        <v/>
      </c>
      <c r="J84" s="12" t="str">
        <f t="shared" si="56"/>
        <v/>
      </c>
      <c r="K84" s="12" t="str">
        <f t="shared" si="56"/>
        <v/>
      </c>
      <c r="L84" s="12" t="str">
        <f t="shared" si="56"/>
        <v/>
      </c>
      <c r="M84" s="12" t="str">
        <f t="shared" si="56"/>
        <v/>
      </c>
      <c r="N84" s="12" t="str">
        <f t="shared" si="56"/>
        <v/>
      </c>
      <c r="O84" s="12" t="str">
        <f t="shared" si="56"/>
        <v/>
      </c>
      <c r="P84" s="12" t="str">
        <f t="shared" si="56"/>
        <v/>
      </c>
      <c r="Q84" s="12" t="str">
        <f t="shared" si="56"/>
        <v/>
      </c>
      <c r="R84" s="12" t="str">
        <f t="shared" si="56"/>
        <v/>
      </c>
      <c r="S84" s="12" t="str">
        <f t="shared" si="56"/>
        <v/>
      </c>
      <c r="T84" s="12" t="str">
        <f t="shared" si="56"/>
        <v/>
      </c>
      <c r="U84" s="12" t="str">
        <f t="shared" si="56"/>
        <v/>
      </c>
      <c r="V84" s="12" t="str">
        <f t="shared" si="56"/>
        <v/>
      </c>
      <c r="W84" s="12" t="str">
        <f t="shared" si="56"/>
        <v/>
      </c>
      <c r="X84" s="12" t="str">
        <f>IF(COUNT(F84:W84)&lt;18,"",SUM(F84:W84))</f>
        <v/>
      </c>
      <c r="Y84" s="12" t="str">
        <f>IF(X84="","",COUNTIF($X$83:$X$87,"&lt;"&amp;X84)+1)</f>
        <v/>
      </c>
      <c r="Z84" s="38" t="str">
        <f ca="1">IF(X84="","",AVERAGE(OFFSET(Leaderboard!$B$5,Y84-1,0,COUNTIF($X$83:$X$87,X84),1)))</f>
        <v/>
      </c>
      <c r="AA84" s="9"/>
      <c r="AB84" s="9"/>
      <c r="AC84" s="9"/>
      <c r="AD84" s="9"/>
      <c r="AE84" s="9"/>
    </row>
    <row r="85" spans="1:31" x14ac:dyDescent="0.2">
      <c r="A85" s="55" t="str">
        <f>B14</f>
        <v>Team 3</v>
      </c>
      <c r="B85" s="56"/>
      <c r="C85" s="56"/>
      <c r="D85" s="56"/>
      <c r="E85" s="57"/>
      <c r="F85" s="12" t="str">
        <f t="shared" ref="F85:W85" si="57">IF(COUNT(F52:F54)&lt;2,"",SMALL(F52:F54,1)+SMALL(F52:F54,2))</f>
        <v/>
      </c>
      <c r="G85" s="12" t="str">
        <f t="shared" si="57"/>
        <v/>
      </c>
      <c r="H85" s="12" t="str">
        <f t="shared" si="57"/>
        <v/>
      </c>
      <c r="I85" s="12" t="str">
        <f t="shared" si="57"/>
        <v/>
      </c>
      <c r="J85" s="12" t="str">
        <f t="shared" si="57"/>
        <v/>
      </c>
      <c r="K85" s="12" t="str">
        <f t="shared" si="57"/>
        <v/>
      </c>
      <c r="L85" s="12" t="str">
        <f t="shared" si="57"/>
        <v/>
      </c>
      <c r="M85" s="12" t="str">
        <f t="shared" si="57"/>
        <v/>
      </c>
      <c r="N85" s="12" t="str">
        <f t="shared" si="57"/>
        <v/>
      </c>
      <c r="O85" s="12" t="str">
        <f t="shared" si="57"/>
        <v/>
      </c>
      <c r="P85" s="12" t="str">
        <f t="shared" si="57"/>
        <v/>
      </c>
      <c r="Q85" s="12" t="str">
        <f t="shared" si="57"/>
        <v/>
      </c>
      <c r="R85" s="12" t="str">
        <f t="shared" si="57"/>
        <v/>
      </c>
      <c r="S85" s="12" t="str">
        <f t="shared" si="57"/>
        <v/>
      </c>
      <c r="T85" s="12" t="str">
        <f t="shared" si="57"/>
        <v/>
      </c>
      <c r="U85" s="12" t="str">
        <f t="shared" si="57"/>
        <v/>
      </c>
      <c r="V85" s="12" t="str">
        <f t="shared" si="57"/>
        <v/>
      </c>
      <c r="W85" s="12" t="str">
        <f t="shared" si="57"/>
        <v/>
      </c>
      <c r="X85" s="12" t="str">
        <f>IF(COUNT(F85:W85)&lt;18,"",SUM(F85:W85))</f>
        <v/>
      </c>
      <c r="Y85" s="12" t="str">
        <f>IF(X85="","",COUNTIF($X$83:$X$87,"&lt;"&amp;X85)+1)</f>
        <v/>
      </c>
      <c r="Z85" s="38" t="str">
        <f ca="1">IF(X85="","",AVERAGE(OFFSET(Leaderboard!$B$5,Y85-1,0,COUNTIF($X$83:$X$87,X85),1)))</f>
        <v/>
      </c>
      <c r="AA85" s="9"/>
      <c r="AB85" s="9"/>
      <c r="AC85" s="9"/>
      <c r="AD85" s="9"/>
      <c r="AE85" s="9"/>
    </row>
    <row r="86" spans="1:31" x14ac:dyDescent="0.2">
      <c r="A86" s="55" t="str">
        <f>B17</f>
        <v>Wydom’s Woodies</v>
      </c>
      <c r="B86" s="56"/>
      <c r="C86" s="56"/>
      <c r="D86" s="56"/>
      <c r="E86" s="57"/>
      <c r="F86" s="12" t="str">
        <f t="shared" ref="F86:W86" si="58">IF(COUNT(F55:F57)&lt;2,"",SMALL(F55:F57,1)+SMALL(F55:F57,2))</f>
        <v/>
      </c>
      <c r="G86" s="12" t="str">
        <f t="shared" si="58"/>
        <v/>
      </c>
      <c r="H86" s="12" t="str">
        <f t="shared" si="58"/>
        <v/>
      </c>
      <c r="I86" s="12" t="str">
        <f t="shared" si="58"/>
        <v/>
      </c>
      <c r="J86" s="12" t="str">
        <f t="shared" si="58"/>
        <v/>
      </c>
      <c r="K86" s="12" t="str">
        <f t="shared" si="58"/>
        <v/>
      </c>
      <c r="L86" s="12" t="str">
        <f t="shared" si="58"/>
        <v/>
      </c>
      <c r="M86" s="12" t="str">
        <f t="shared" si="58"/>
        <v/>
      </c>
      <c r="N86" s="12" t="str">
        <f t="shared" si="58"/>
        <v/>
      </c>
      <c r="O86" s="12" t="str">
        <f t="shared" si="58"/>
        <v/>
      </c>
      <c r="P86" s="12" t="str">
        <f t="shared" si="58"/>
        <v/>
      </c>
      <c r="Q86" s="12" t="str">
        <f t="shared" si="58"/>
        <v/>
      </c>
      <c r="R86" s="12" t="str">
        <f t="shared" si="58"/>
        <v/>
      </c>
      <c r="S86" s="12" t="str">
        <f t="shared" si="58"/>
        <v/>
      </c>
      <c r="T86" s="12" t="str">
        <f t="shared" si="58"/>
        <v/>
      </c>
      <c r="U86" s="12" t="str">
        <f t="shared" si="58"/>
        <v/>
      </c>
      <c r="V86" s="12" t="str">
        <f t="shared" si="58"/>
        <v/>
      </c>
      <c r="W86" s="12" t="str">
        <f t="shared" si="58"/>
        <v/>
      </c>
      <c r="X86" s="12" t="str">
        <f>IF(COUNT(F86:W86)&lt;18,"",SUM(F86:W86))</f>
        <v/>
      </c>
      <c r="Y86" s="12" t="str">
        <f>IF(X86="","",COUNTIF($X$83:$X$87,"&lt;"&amp;X86)+1)</f>
        <v/>
      </c>
      <c r="Z86" s="38" t="str">
        <f ca="1">IF(X86="","",AVERAGE(OFFSET(Leaderboard!$B$5,Y86-1,0,COUNTIF($X$83:$X$87,X86),1)))</f>
        <v/>
      </c>
      <c r="AA86" s="9"/>
      <c r="AB86" s="9"/>
      <c r="AC86" s="9"/>
      <c r="AD86" s="9"/>
      <c r="AE86" s="9"/>
    </row>
    <row r="87" spans="1:31" x14ac:dyDescent="0.2">
      <c r="A87" s="55" t="str">
        <f>B20</f>
        <v>Putting Balls in the Hole</v>
      </c>
      <c r="B87" s="56"/>
      <c r="C87" s="56"/>
      <c r="D87" s="56"/>
      <c r="E87" s="57"/>
      <c r="F87" s="12" t="str">
        <f t="shared" ref="F87:W87" si="59">IF(COUNT(F58:F60)&lt;2,"",SMALL(F58:F60,1)+SMALL(F58:F60,2))</f>
        <v/>
      </c>
      <c r="G87" s="12" t="str">
        <f t="shared" si="59"/>
        <v/>
      </c>
      <c r="H87" s="12" t="str">
        <f t="shared" si="59"/>
        <v/>
      </c>
      <c r="I87" s="12" t="str">
        <f t="shared" si="59"/>
        <v/>
      </c>
      <c r="J87" s="12" t="str">
        <f t="shared" si="59"/>
        <v/>
      </c>
      <c r="K87" s="12" t="str">
        <f t="shared" si="59"/>
        <v/>
      </c>
      <c r="L87" s="12" t="str">
        <f t="shared" si="59"/>
        <v/>
      </c>
      <c r="M87" s="12" t="str">
        <f t="shared" si="59"/>
        <v/>
      </c>
      <c r="N87" s="12" t="str">
        <f t="shared" si="59"/>
        <v/>
      </c>
      <c r="O87" s="12" t="str">
        <f t="shared" si="59"/>
        <v/>
      </c>
      <c r="P87" s="12" t="str">
        <f t="shared" si="59"/>
        <v/>
      </c>
      <c r="Q87" s="12" t="str">
        <f t="shared" si="59"/>
        <v/>
      </c>
      <c r="R87" s="12" t="str">
        <f t="shared" si="59"/>
        <v/>
      </c>
      <c r="S87" s="12" t="str">
        <f t="shared" si="59"/>
        <v/>
      </c>
      <c r="T87" s="12" t="str">
        <f t="shared" si="59"/>
        <v/>
      </c>
      <c r="U87" s="12" t="str">
        <f t="shared" si="59"/>
        <v/>
      </c>
      <c r="V87" s="12" t="str">
        <f t="shared" si="59"/>
        <v/>
      </c>
      <c r="W87" s="12" t="str">
        <f t="shared" si="59"/>
        <v/>
      </c>
      <c r="X87" s="12" t="str">
        <f>IF(COUNT(F87:W87)&lt;18,"",SUM(F87:W87))</f>
        <v/>
      </c>
      <c r="Y87" s="12" t="str">
        <f>IF(X87="","",COUNTIF($X$83:$X$87,"&lt;"&amp;X87)+1)</f>
        <v/>
      </c>
      <c r="Z87" s="38" t="str">
        <f ca="1">IF(X87="","",AVERAGE(OFFSET(Leaderboard!$B$5,Y87-1,0,COUNTIF($X$83:$X$87,X87),1)))</f>
        <v/>
      </c>
      <c r="AA87" s="9"/>
      <c r="AB87" s="9"/>
      <c r="AC87" s="9"/>
      <c r="AD87" s="9"/>
      <c r="AE87" s="9"/>
    </row>
    <row r="88" spans="1:31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1" x14ac:dyDescent="0.2">
      <c r="A89" s="50" t="s">
        <v>119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1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1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1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1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1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</sheetData>
  <mergeCells count="8">
    <mergeCell ref="A83:E83"/>
    <mergeCell ref="A87:E87"/>
    <mergeCell ref="A1:AC1"/>
    <mergeCell ref="A86:E86"/>
    <mergeCell ref="A82:E82"/>
    <mergeCell ref="A85:E85"/>
    <mergeCell ref="A84:E84"/>
    <mergeCell ref="A2:AC2"/>
  </mergeCells>
  <conditionalFormatting sqref="F8:W22">
    <cfRule type="expression" dxfId="3" priority="1">
      <formula>AND(ISNUMBER(F8),F8&lt;=F$5-1)</formula>
    </cfRule>
    <cfRule type="expression" dxfId="2" priority="2">
      <formula>AND(ISNUMBER(F8),F8&gt;=F$5+2)</formula>
    </cfRule>
  </conditionalFormatting>
  <dataValidations count="18">
    <dataValidation type="whole" showErrorMessage="1" errorTitle="Check that score" error="Hole 1 is a par 4. Enter a score from 1 to 12." sqref="F8:F22" xr:uid="{00000000-0002-0000-0400-000000000000}">
      <formula1>1</formula1>
      <formula2>12</formula2>
    </dataValidation>
    <dataValidation type="whole" showErrorMessage="1" errorTitle="Check that score" error="Hole 2 is a par 3. Enter a score from 1 to 9." sqref="G8:G22" xr:uid="{00000000-0002-0000-0400-000001000000}">
      <formula1>1</formula1>
      <formula2>9</formula2>
    </dataValidation>
    <dataValidation type="whole" showErrorMessage="1" errorTitle="Check that score" error="Hole 3 is a par 5. Enter a score from 1 to 15." sqref="H8:H22" xr:uid="{00000000-0002-0000-0400-000002000000}">
      <formula1>1</formula1>
      <formula2>15</formula2>
    </dataValidation>
    <dataValidation type="whole" showErrorMessage="1" errorTitle="Check that score" error="Hole 4 is a par 4. Enter a score from 1 to 12." sqref="I8:I22" xr:uid="{00000000-0002-0000-0400-000003000000}">
      <formula1>1</formula1>
      <formula2>12</formula2>
    </dataValidation>
    <dataValidation type="whole" showErrorMessage="1" errorTitle="Check that score" error="Hole 5 is a par 3. Enter a score from 1 to 9." sqref="J8:J22" xr:uid="{00000000-0002-0000-0400-000004000000}">
      <formula1>1</formula1>
      <formula2>9</formula2>
    </dataValidation>
    <dataValidation type="whole" showErrorMessage="1" errorTitle="Check that score" error="Hole 6 is a par 4. Enter a score from 1 to 12." sqref="K8:K22" xr:uid="{00000000-0002-0000-0400-000005000000}">
      <formula1>1</formula1>
      <formula2>12</formula2>
    </dataValidation>
    <dataValidation type="whole" showErrorMessage="1" errorTitle="Check that score" error="Hole 7 is a par 4. Enter a score from 1 to 12." sqref="L8:L22" xr:uid="{00000000-0002-0000-0400-000006000000}">
      <formula1>1</formula1>
      <formula2>12</formula2>
    </dataValidation>
    <dataValidation type="whole" showErrorMessage="1" errorTitle="Check that score" error="Hole 8 is a par 4. Enter a score from 1 to 12." sqref="M8:M22" xr:uid="{00000000-0002-0000-0400-000007000000}">
      <formula1>1</formula1>
      <formula2>12</formula2>
    </dataValidation>
    <dataValidation type="whole" showErrorMessage="1" errorTitle="Check that score" error="Hole 9 is a par 5. Enter a score from 1 to 15." sqref="N8:N22" xr:uid="{00000000-0002-0000-0400-000008000000}">
      <formula1>1</formula1>
      <formula2>15</formula2>
    </dataValidation>
    <dataValidation type="whole" showErrorMessage="1" errorTitle="Check that score" error="Hole 10 is a par 5. Enter a score from 1 to 15." sqref="O8:O22" xr:uid="{00000000-0002-0000-0400-000009000000}">
      <formula1>1</formula1>
      <formula2>15</formula2>
    </dataValidation>
    <dataValidation type="whole" showErrorMessage="1" errorTitle="Check that score" error="Hole 11 is a par 4. Enter a score from 1 to 12." sqref="P8:P22" xr:uid="{00000000-0002-0000-0400-00000A000000}">
      <formula1>1</formula1>
      <formula2>12</formula2>
    </dataValidation>
    <dataValidation type="whole" showErrorMessage="1" errorTitle="Check that score" error="Hole 12 is a par 4. Enter a score from 1 to 12." sqref="Q8:Q22" xr:uid="{00000000-0002-0000-0400-00000B000000}">
      <formula1>1</formula1>
      <formula2>12</formula2>
    </dataValidation>
    <dataValidation type="whole" showErrorMessage="1" errorTitle="Check that score" error="Hole 13 is a par 4. Enter a score from 1 to 12." sqref="R8:R22" xr:uid="{00000000-0002-0000-0400-00000C000000}">
      <formula1>1</formula1>
      <formula2>12</formula2>
    </dataValidation>
    <dataValidation type="whole" showErrorMessage="1" errorTitle="Check that score" error="Hole 14 is a par 3. Enter a score from 1 to 9." sqref="S8:S22" xr:uid="{00000000-0002-0000-0400-00000D000000}">
      <formula1>1</formula1>
      <formula2>9</formula2>
    </dataValidation>
    <dataValidation type="whole" showErrorMessage="1" errorTitle="Check that score" error="Hole 15 is a par 5. Enter a score from 1 to 15." sqref="T8:T22" xr:uid="{00000000-0002-0000-0400-00000E000000}">
      <formula1>1</formula1>
      <formula2>15</formula2>
    </dataValidation>
    <dataValidation type="whole" showErrorMessage="1" errorTitle="Check that score" error="Hole 16 is a par 3. Enter a score from 1 to 9." sqref="U8:U22" xr:uid="{00000000-0002-0000-0400-00000F000000}">
      <formula1>1</formula1>
      <formula2>9</formula2>
    </dataValidation>
    <dataValidation type="whole" showErrorMessage="1" errorTitle="Check that score" error="Hole 17 is a par 4. Enter a score from 1 to 12." sqref="V8:V22" xr:uid="{00000000-0002-0000-0400-000010000000}">
      <formula1>1</formula1>
      <formula2>12</formula2>
    </dataValidation>
    <dataValidation type="whole" showErrorMessage="1" errorTitle="Check that score" error="Hole 18 is a par 4. Enter a score from 1 to 12." sqref="W8:W22" xr:uid="{00000000-0002-0000-0400-000011000000}">
      <formula1>1</formula1>
      <formula2>12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E5E3F"/>
  </sheetPr>
  <dimension ref="A1:AH83"/>
  <sheetViews>
    <sheetView showGridLines="0" zoomScale="110" workbookViewId="0">
      <pane xSplit="5" ySplit="7" topLeftCell="F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7" customWidth="1"/>
    <col min="3" max="3" width="5" customWidth="1"/>
    <col min="4" max="4" width="7" customWidth="1"/>
    <col min="5" max="5" width="15" customWidth="1"/>
    <col min="6" max="23" width="5.1640625" customWidth="1"/>
    <col min="24" max="26" width="7" customWidth="1"/>
    <col min="27" max="27" width="9" customWidth="1"/>
    <col min="28" max="28" width="10" customWidth="1"/>
    <col min="29" max="31" width="8" customWidth="1"/>
    <col min="32" max="32" width="13" hidden="1" customWidth="1"/>
  </cols>
  <sheetData>
    <row r="1" spans="1:34" ht="26" customHeight="1" x14ac:dyDescent="0.2">
      <c r="A1" s="52" t="s">
        <v>126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9"/>
      <c r="AE1" s="9"/>
      <c r="AF1" s="9"/>
      <c r="AG1" s="9"/>
      <c r="AH1" s="9"/>
    </row>
    <row r="2" spans="1:34" x14ac:dyDescent="0.2">
      <c r="A2" s="54" t="s">
        <v>127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9"/>
      <c r="AE2" s="9"/>
      <c r="AF2" s="9"/>
      <c r="AG2" s="9"/>
      <c r="AH2" s="9"/>
    </row>
    <row r="3" spans="1:34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x14ac:dyDescent="0.2">
      <c r="A4" s="9"/>
      <c r="B4" s="9"/>
      <c r="C4" s="9"/>
      <c r="D4" s="9"/>
      <c r="E4" s="32" t="s">
        <v>78</v>
      </c>
      <c r="F4" s="15">
        <v>1</v>
      </c>
      <c r="G4" s="15">
        <v>2</v>
      </c>
      <c r="H4" s="15">
        <v>3</v>
      </c>
      <c r="I4" s="15">
        <v>4</v>
      </c>
      <c r="J4" s="15">
        <v>5</v>
      </c>
      <c r="K4" s="15">
        <v>6</v>
      </c>
      <c r="L4" s="15">
        <v>7</v>
      </c>
      <c r="M4" s="15">
        <v>8</v>
      </c>
      <c r="N4" s="15">
        <v>9</v>
      </c>
      <c r="O4" s="15">
        <v>10</v>
      </c>
      <c r="P4" s="15">
        <v>11</v>
      </c>
      <c r="Q4" s="15">
        <v>12</v>
      </c>
      <c r="R4" s="15">
        <v>13</v>
      </c>
      <c r="S4" s="15">
        <v>14</v>
      </c>
      <c r="T4" s="15">
        <v>15</v>
      </c>
      <c r="U4" s="15">
        <v>16</v>
      </c>
      <c r="V4" s="15">
        <v>17</v>
      </c>
      <c r="W4" s="15">
        <v>18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spans="1:34" x14ac:dyDescent="0.2">
      <c r="A5" s="9"/>
      <c r="B5" s="9"/>
      <c r="C5" s="9"/>
      <c r="D5" s="9"/>
      <c r="E5" s="33" t="s">
        <v>79</v>
      </c>
      <c r="F5" s="34">
        <v>4</v>
      </c>
      <c r="G5" s="34">
        <v>4</v>
      </c>
      <c r="H5" s="34">
        <v>5</v>
      </c>
      <c r="I5" s="34">
        <v>4</v>
      </c>
      <c r="J5" s="34">
        <v>3</v>
      </c>
      <c r="K5" s="34">
        <v>5</v>
      </c>
      <c r="L5" s="34">
        <v>4</v>
      </c>
      <c r="M5" s="34">
        <v>3</v>
      </c>
      <c r="N5" s="34">
        <v>4</v>
      </c>
      <c r="O5" s="34">
        <v>4</v>
      </c>
      <c r="P5" s="34">
        <v>3</v>
      </c>
      <c r="Q5" s="34">
        <v>4</v>
      </c>
      <c r="R5" s="34">
        <v>4</v>
      </c>
      <c r="S5" s="34">
        <v>4</v>
      </c>
      <c r="T5" s="34">
        <v>5</v>
      </c>
      <c r="U5" s="34">
        <v>3</v>
      </c>
      <c r="V5" s="34">
        <v>4</v>
      </c>
      <c r="W5" s="34">
        <v>5</v>
      </c>
      <c r="X5" s="35">
        <f>SUM(F5:W5)</f>
        <v>72</v>
      </c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34" x14ac:dyDescent="0.2">
      <c r="A6" s="9"/>
      <c r="B6" s="9"/>
      <c r="C6" s="9"/>
      <c r="D6" s="9"/>
      <c r="E6" s="33" t="s">
        <v>80</v>
      </c>
      <c r="F6" s="34">
        <v>17</v>
      </c>
      <c r="G6" s="34">
        <v>1</v>
      </c>
      <c r="H6" s="34">
        <v>5</v>
      </c>
      <c r="I6" s="34">
        <v>3</v>
      </c>
      <c r="J6" s="34">
        <v>7</v>
      </c>
      <c r="K6" s="34">
        <v>13</v>
      </c>
      <c r="L6" s="34">
        <v>9</v>
      </c>
      <c r="M6" s="34">
        <v>15</v>
      </c>
      <c r="N6" s="34">
        <v>11</v>
      </c>
      <c r="O6" s="34">
        <v>4</v>
      </c>
      <c r="P6" s="34">
        <v>18</v>
      </c>
      <c r="Q6" s="34">
        <v>6</v>
      </c>
      <c r="R6" s="34">
        <v>10</v>
      </c>
      <c r="S6" s="34">
        <v>2</v>
      </c>
      <c r="T6" s="34">
        <v>12</v>
      </c>
      <c r="U6" s="34">
        <v>8</v>
      </c>
      <c r="V6" s="34">
        <v>14</v>
      </c>
      <c r="W6" s="34">
        <v>16</v>
      </c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spans="1:34" x14ac:dyDescent="0.2">
      <c r="A7" s="15" t="s">
        <v>18</v>
      </c>
      <c r="B7" s="15" t="s">
        <v>11</v>
      </c>
      <c r="C7" s="15" t="s">
        <v>19</v>
      </c>
      <c r="D7" s="15" t="s">
        <v>49</v>
      </c>
      <c r="E7" s="15" t="s">
        <v>81</v>
      </c>
      <c r="F7" s="15" t="s">
        <v>82</v>
      </c>
      <c r="G7" s="15" t="s">
        <v>83</v>
      </c>
      <c r="H7" s="15" t="s">
        <v>84</v>
      </c>
      <c r="I7" s="15" t="s">
        <v>85</v>
      </c>
      <c r="J7" s="15" t="s">
        <v>86</v>
      </c>
      <c r="K7" s="15" t="s">
        <v>87</v>
      </c>
      <c r="L7" s="15" t="s">
        <v>88</v>
      </c>
      <c r="M7" s="15" t="s">
        <v>89</v>
      </c>
      <c r="N7" s="15" t="s">
        <v>90</v>
      </c>
      <c r="O7" s="15" t="s">
        <v>91</v>
      </c>
      <c r="P7" s="15" t="s">
        <v>92</v>
      </c>
      <c r="Q7" s="15" t="s">
        <v>93</v>
      </c>
      <c r="R7" s="15" t="s">
        <v>94</v>
      </c>
      <c r="S7" s="15" t="s">
        <v>95</v>
      </c>
      <c r="T7" s="15" t="s">
        <v>96</v>
      </c>
      <c r="U7" s="15" t="s">
        <v>97</v>
      </c>
      <c r="V7" s="15" t="s">
        <v>98</v>
      </c>
      <c r="W7" s="15" t="s">
        <v>99</v>
      </c>
      <c r="X7" s="15" t="s">
        <v>100</v>
      </c>
      <c r="Y7" s="15" t="s">
        <v>101</v>
      </c>
      <c r="Z7" s="15" t="s">
        <v>102</v>
      </c>
      <c r="AA7" s="15" t="s">
        <v>103</v>
      </c>
      <c r="AB7" s="15" t="s">
        <v>104</v>
      </c>
      <c r="AC7" s="15" t="s">
        <v>20</v>
      </c>
      <c r="AD7" s="15" t="s">
        <v>128</v>
      </c>
      <c r="AE7" s="15" t="s">
        <v>118</v>
      </c>
      <c r="AF7" s="9"/>
      <c r="AG7" s="9"/>
      <c r="AH7" s="9"/>
    </row>
    <row r="8" spans="1:34" x14ac:dyDescent="0.2">
      <c r="A8" s="20" t="str">
        <f>Players!$A$5</f>
        <v>Frank Barta</v>
      </c>
      <c r="B8" s="21" t="str">
        <f>Players!$B$5</f>
        <v>Team 2</v>
      </c>
      <c r="C8" s="12">
        <f>Players!$C$5</f>
        <v>8</v>
      </c>
      <c r="D8" s="12">
        <f>Players!$D$5</f>
        <v>0</v>
      </c>
      <c r="E8" s="51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12" t="str">
        <f t="shared" ref="X8:X22" si="0">IF(COUNT(F8:W8)=0,"",SUM(F8:W8))</f>
        <v/>
      </c>
      <c r="Y8" s="12">
        <f t="shared" ref="Y8:Y22" si="1">COUNT(F8:W8)</f>
        <v>0</v>
      </c>
      <c r="Z8" s="12" t="str">
        <f t="shared" ref="Z8:Z22" si="2">IF(COUNT(F8:W8)=0,"",SUM(F46:W46))</f>
        <v/>
      </c>
      <c r="AA8" s="12" t="str">
        <f t="shared" ref="AA8:AA22" si="3">IF(COUNT(F8:W8)=0,"",SUM(F64:W64))</f>
        <v/>
      </c>
      <c r="AB8" s="38" t="str">
        <f t="shared" ref="AB8:AB22" si="4">IF(COUNT(F8:W8)=0,"",C8+AA8)</f>
        <v/>
      </c>
      <c r="AC8" s="12">
        <f t="shared" ref="AC8:AC22" si="5">COUNTIF(F64:W64,"&gt;=4")</f>
        <v>0</v>
      </c>
      <c r="AD8" s="12" t="str">
        <f t="shared" ref="AD8:AD22" si="6">IF(AF8="","",COUNTIF($AF$8:$AF$22,"&lt;"&amp;AF8)+1)</f>
        <v/>
      </c>
      <c r="AE8" s="38" t="str">
        <f t="shared" ref="AE8:AE22" si="7">IF(AF8="","",COUNTA($A$8:$A$22)+1-AD8-(COUNTIF($AF$8:$AF$22,AF8)-1)/2)</f>
        <v/>
      </c>
      <c r="AF8" s="9" t="str">
        <f t="shared" ref="AF8:AF22" si="8">IF(Y8=18,Z8,"")</f>
        <v/>
      </c>
      <c r="AG8" s="9"/>
      <c r="AH8" s="9"/>
    </row>
    <row r="9" spans="1:34" x14ac:dyDescent="0.2">
      <c r="A9" s="20" t="str">
        <f>Players!$A$6</f>
        <v>Marc Wydom</v>
      </c>
      <c r="B9" s="21" t="str">
        <f>Players!$B$6</f>
        <v>Team 2</v>
      </c>
      <c r="C9" s="12">
        <f>Players!$C$6</f>
        <v>16</v>
      </c>
      <c r="D9" s="12">
        <f>Players!$D$6</f>
        <v>8</v>
      </c>
      <c r="E9" s="51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12" t="str">
        <f t="shared" si="0"/>
        <v/>
      </c>
      <c r="Y9" s="12">
        <f t="shared" si="1"/>
        <v>0</v>
      </c>
      <c r="Z9" s="12" t="str">
        <f t="shared" si="2"/>
        <v/>
      </c>
      <c r="AA9" s="12" t="str">
        <f t="shared" si="3"/>
        <v/>
      </c>
      <c r="AB9" s="38" t="str">
        <f t="shared" si="4"/>
        <v/>
      </c>
      <c r="AC9" s="12">
        <f t="shared" si="5"/>
        <v>0</v>
      </c>
      <c r="AD9" s="12" t="str">
        <f t="shared" si="6"/>
        <v/>
      </c>
      <c r="AE9" s="38" t="str">
        <f t="shared" si="7"/>
        <v/>
      </c>
      <c r="AF9" s="9" t="str">
        <f t="shared" si="8"/>
        <v/>
      </c>
      <c r="AG9" s="9"/>
      <c r="AH9" s="9"/>
    </row>
    <row r="10" spans="1:34" x14ac:dyDescent="0.2">
      <c r="A10" s="20" t="str">
        <f>Players!$A$7</f>
        <v>Donnie Muller</v>
      </c>
      <c r="B10" s="21" t="str">
        <f>Players!$B$7</f>
        <v>Team 2</v>
      </c>
      <c r="C10" s="12">
        <f>Players!$C$7</f>
        <v>19</v>
      </c>
      <c r="D10" s="12">
        <f>Players!$D$7</f>
        <v>11</v>
      </c>
      <c r="E10" s="51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12" t="str">
        <f t="shared" si="0"/>
        <v/>
      </c>
      <c r="Y10" s="12">
        <f t="shared" si="1"/>
        <v>0</v>
      </c>
      <c r="Z10" s="12" t="str">
        <f t="shared" si="2"/>
        <v/>
      </c>
      <c r="AA10" s="12" t="str">
        <f t="shared" si="3"/>
        <v/>
      </c>
      <c r="AB10" s="38" t="str">
        <f t="shared" si="4"/>
        <v/>
      </c>
      <c r="AC10" s="12">
        <f t="shared" si="5"/>
        <v>0</v>
      </c>
      <c r="AD10" s="12" t="str">
        <f t="shared" si="6"/>
        <v/>
      </c>
      <c r="AE10" s="38" t="str">
        <f t="shared" si="7"/>
        <v/>
      </c>
      <c r="AF10" s="9" t="str">
        <f t="shared" si="8"/>
        <v/>
      </c>
      <c r="AG10" s="9"/>
      <c r="AH10" s="9"/>
    </row>
    <row r="11" spans="1:34" x14ac:dyDescent="0.2">
      <c r="A11" s="39" t="str">
        <f>Players!$A$8</f>
        <v>Tommy Duncan</v>
      </c>
      <c r="B11" s="40" t="str">
        <f>Players!$B$8</f>
        <v>Skull it and Pray</v>
      </c>
      <c r="C11" s="41">
        <f>Players!$C$8</f>
        <v>24</v>
      </c>
      <c r="D11" s="41">
        <f>Players!$D$8</f>
        <v>16</v>
      </c>
      <c r="E11" s="51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41" t="str">
        <f t="shared" si="0"/>
        <v/>
      </c>
      <c r="Y11" s="41">
        <f t="shared" si="1"/>
        <v>0</v>
      </c>
      <c r="Z11" s="41" t="str">
        <f t="shared" si="2"/>
        <v/>
      </c>
      <c r="AA11" s="41" t="str">
        <f t="shared" si="3"/>
        <v/>
      </c>
      <c r="AB11" s="43" t="str">
        <f t="shared" si="4"/>
        <v/>
      </c>
      <c r="AC11" s="41">
        <f t="shared" si="5"/>
        <v>0</v>
      </c>
      <c r="AD11" s="12" t="str">
        <f t="shared" si="6"/>
        <v/>
      </c>
      <c r="AE11" s="38" t="str">
        <f t="shared" si="7"/>
        <v/>
      </c>
      <c r="AF11" s="9" t="str">
        <f t="shared" si="8"/>
        <v/>
      </c>
      <c r="AG11" s="9"/>
      <c r="AH11" s="9"/>
    </row>
    <row r="12" spans="1:34" x14ac:dyDescent="0.2">
      <c r="A12" s="39" t="str">
        <f>Players!$A$9</f>
        <v>Jason Kimbo</v>
      </c>
      <c r="B12" s="40" t="str">
        <f>Players!$B$9</f>
        <v>Skull it and Pray</v>
      </c>
      <c r="C12" s="41">
        <f>Players!$C$9</f>
        <v>17</v>
      </c>
      <c r="D12" s="41">
        <f>Players!$D$9</f>
        <v>9</v>
      </c>
      <c r="E12" s="51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41" t="str">
        <f t="shared" si="0"/>
        <v/>
      </c>
      <c r="Y12" s="41">
        <f t="shared" si="1"/>
        <v>0</v>
      </c>
      <c r="Z12" s="41" t="str">
        <f t="shared" si="2"/>
        <v/>
      </c>
      <c r="AA12" s="41" t="str">
        <f t="shared" si="3"/>
        <v/>
      </c>
      <c r="AB12" s="43" t="str">
        <f t="shared" si="4"/>
        <v/>
      </c>
      <c r="AC12" s="41">
        <f t="shared" si="5"/>
        <v>0</v>
      </c>
      <c r="AD12" s="12" t="str">
        <f t="shared" si="6"/>
        <v/>
      </c>
      <c r="AE12" s="38" t="str">
        <f t="shared" si="7"/>
        <v/>
      </c>
      <c r="AF12" s="9" t="str">
        <f t="shared" si="8"/>
        <v/>
      </c>
      <c r="AG12" s="9"/>
      <c r="AH12" s="9"/>
    </row>
    <row r="13" spans="1:34" x14ac:dyDescent="0.2">
      <c r="A13" s="39" t="str">
        <f>Players!$A$10</f>
        <v>Spencer Friend</v>
      </c>
      <c r="B13" s="40" t="str">
        <f>Players!$B$10</f>
        <v>Skull it and Pray</v>
      </c>
      <c r="C13" s="41">
        <f>Players!$C$10</f>
        <v>9</v>
      </c>
      <c r="D13" s="41">
        <f>Players!$D$10</f>
        <v>1</v>
      </c>
      <c r="E13" s="51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41" t="str">
        <f t="shared" si="0"/>
        <v/>
      </c>
      <c r="Y13" s="41">
        <f t="shared" si="1"/>
        <v>0</v>
      </c>
      <c r="Z13" s="41" t="str">
        <f t="shared" si="2"/>
        <v/>
      </c>
      <c r="AA13" s="41" t="str">
        <f t="shared" si="3"/>
        <v/>
      </c>
      <c r="AB13" s="43" t="str">
        <f t="shared" si="4"/>
        <v/>
      </c>
      <c r="AC13" s="41">
        <f t="shared" si="5"/>
        <v>0</v>
      </c>
      <c r="AD13" s="12" t="str">
        <f t="shared" si="6"/>
        <v/>
      </c>
      <c r="AE13" s="38" t="str">
        <f t="shared" si="7"/>
        <v/>
      </c>
      <c r="AF13" s="9" t="str">
        <f t="shared" si="8"/>
        <v/>
      </c>
      <c r="AG13" s="9"/>
      <c r="AH13" s="9"/>
    </row>
    <row r="14" spans="1:34" x14ac:dyDescent="0.2">
      <c r="A14" s="20" t="str">
        <f>Players!$A$11</f>
        <v>Ben Young</v>
      </c>
      <c r="B14" s="21" t="str">
        <f>Players!$B$11</f>
        <v>Team 3</v>
      </c>
      <c r="C14" s="12">
        <f>Players!$C$11</f>
        <v>18</v>
      </c>
      <c r="D14" s="12">
        <f>Players!$D$11</f>
        <v>10</v>
      </c>
      <c r="E14" s="51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12" t="str">
        <f t="shared" si="0"/>
        <v/>
      </c>
      <c r="Y14" s="12">
        <f t="shared" si="1"/>
        <v>0</v>
      </c>
      <c r="Z14" s="12" t="str">
        <f t="shared" si="2"/>
        <v/>
      </c>
      <c r="AA14" s="12" t="str">
        <f t="shared" si="3"/>
        <v/>
      </c>
      <c r="AB14" s="38" t="str">
        <f t="shared" si="4"/>
        <v/>
      </c>
      <c r="AC14" s="12">
        <f t="shared" si="5"/>
        <v>0</v>
      </c>
      <c r="AD14" s="12" t="str">
        <f t="shared" si="6"/>
        <v/>
      </c>
      <c r="AE14" s="38" t="str">
        <f t="shared" si="7"/>
        <v/>
      </c>
      <c r="AF14" s="9" t="str">
        <f t="shared" si="8"/>
        <v/>
      </c>
      <c r="AG14" s="9"/>
      <c r="AH14" s="9"/>
    </row>
    <row r="15" spans="1:34" x14ac:dyDescent="0.2">
      <c r="A15" s="20" t="str">
        <f>Players!$A$12</f>
        <v>Justin Conrad</v>
      </c>
      <c r="B15" s="21" t="str">
        <f>Players!$B$12</f>
        <v>Team 3</v>
      </c>
      <c r="C15" s="12">
        <f>Players!$C$12</f>
        <v>30</v>
      </c>
      <c r="D15" s="12">
        <f>Players!$D$12</f>
        <v>22</v>
      </c>
      <c r="E15" s="51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12" t="str">
        <f t="shared" si="0"/>
        <v/>
      </c>
      <c r="Y15" s="12">
        <f t="shared" si="1"/>
        <v>0</v>
      </c>
      <c r="Z15" s="12" t="str">
        <f t="shared" si="2"/>
        <v/>
      </c>
      <c r="AA15" s="12" t="str">
        <f t="shared" si="3"/>
        <v/>
      </c>
      <c r="AB15" s="38" t="str">
        <f t="shared" si="4"/>
        <v/>
      </c>
      <c r="AC15" s="12">
        <f t="shared" si="5"/>
        <v>0</v>
      </c>
      <c r="AD15" s="12" t="str">
        <f t="shared" si="6"/>
        <v/>
      </c>
      <c r="AE15" s="38" t="str">
        <f t="shared" si="7"/>
        <v/>
      </c>
      <c r="AF15" s="9" t="str">
        <f t="shared" si="8"/>
        <v/>
      </c>
      <c r="AG15" s="9"/>
      <c r="AH15" s="9"/>
    </row>
    <row r="16" spans="1:34" x14ac:dyDescent="0.2">
      <c r="A16" s="20" t="str">
        <f>Players!$A$13</f>
        <v>Shawn McMaster</v>
      </c>
      <c r="B16" s="21" t="str">
        <f>Players!$B$13</f>
        <v>Team 3</v>
      </c>
      <c r="C16" s="12">
        <f>Players!$C$13</f>
        <v>19</v>
      </c>
      <c r="D16" s="12">
        <f>Players!$D$13</f>
        <v>11</v>
      </c>
      <c r="E16" s="51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12" t="str">
        <f t="shared" si="0"/>
        <v/>
      </c>
      <c r="Y16" s="12">
        <f t="shared" si="1"/>
        <v>0</v>
      </c>
      <c r="Z16" s="12" t="str">
        <f t="shared" si="2"/>
        <v/>
      </c>
      <c r="AA16" s="12" t="str">
        <f t="shared" si="3"/>
        <v/>
      </c>
      <c r="AB16" s="38" t="str">
        <f t="shared" si="4"/>
        <v/>
      </c>
      <c r="AC16" s="12">
        <f t="shared" si="5"/>
        <v>0</v>
      </c>
      <c r="AD16" s="12" t="str">
        <f t="shared" si="6"/>
        <v/>
      </c>
      <c r="AE16" s="38" t="str">
        <f t="shared" si="7"/>
        <v/>
      </c>
      <c r="AF16" s="9" t="str">
        <f t="shared" si="8"/>
        <v/>
      </c>
      <c r="AG16" s="9"/>
      <c r="AH16" s="9"/>
    </row>
    <row r="17" spans="1:34" x14ac:dyDescent="0.2">
      <c r="A17" s="39" t="str">
        <f>Players!$A$14</f>
        <v>Ian Dempsey</v>
      </c>
      <c r="B17" s="40" t="str">
        <f>Players!$B$14</f>
        <v>Wydom’s Woodies</v>
      </c>
      <c r="C17" s="41">
        <f>Players!$C$14</f>
        <v>21</v>
      </c>
      <c r="D17" s="41">
        <f>Players!$D$14</f>
        <v>13</v>
      </c>
      <c r="E17" s="51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41" t="str">
        <f t="shared" si="0"/>
        <v/>
      </c>
      <c r="Y17" s="41">
        <f t="shared" si="1"/>
        <v>0</v>
      </c>
      <c r="Z17" s="41" t="str">
        <f t="shared" si="2"/>
        <v/>
      </c>
      <c r="AA17" s="41" t="str">
        <f t="shared" si="3"/>
        <v/>
      </c>
      <c r="AB17" s="43" t="str">
        <f t="shared" si="4"/>
        <v/>
      </c>
      <c r="AC17" s="41">
        <f t="shared" si="5"/>
        <v>0</v>
      </c>
      <c r="AD17" s="12" t="str">
        <f t="shared" si="6"/>
        <v/>
      </c>
      <c r="AE17" s="38" t="str">
        <f t="shared" si="7"/>
        <v/>
      </c>
      <c r="AF17" s="9" t="str">
        <f t="shared" si="8"/>
        <v/>
      </c>
      <c r="AG17" s="9"/>
      <c r="AH17" s="9"/>
    </row>
    <row r="18" spans="1:34" x14ac:dyDescent="0.2">
      <c r="A18" s="39" t="str">
        <f>Players!$A$15</f>
        <v>Nick Roy</v>
      </c>
      <c r="B18" s="40" t="str">
        <f>Players!$B$15</f>
        <v>Wydom’s Woodies</v>
      </c>
      <c r="C18" s="41">
        <f>Players!$C$15</f>
        <v>21</v>
      </c>
      <c r="D18" s="41">
        <f>Players!$D$15</f>
        <v>13</v>
      </c>
      <c r="E18" s="51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41" t="str">
        <f t="shared" si="0"/>
        <v/>
      </c>
      <c r="Y18" s="41">
        <f t="shared" si="1"/>
        <v>0</v>
      </c>
      <c r="Z18" s="41" t="str">
        <f t="shared" si="2"/>
        <v/>
      </c>
      <c r="AA18" s="41" t="str">
        <f t="shared" si="3"/>
        <v/>
      </c>
      <c r="AB18" s="43" t="str">
        <f t="shared" si="4"/>
        <v/>
      </c>
      <c r="AC18" s="41">
        <f t="shared" si="5"/>
        <v>0</v>
      </c>
      <c r="AD18" s="12" t="str">
        <f t="shared" si="6"/>
        <v/>
      </c>
      <c r="AE18" s="38" t="str">
        <f t="shared" si="7"/>
        <v/>
      </c>
      <c r="AF18" s="9" t="str">
        <f t="shared" si="8"/>
        <v/>
      </c>
      <c r="AG18" s="9"/>
      <c r="AH18" s="9"/>
    </row>
    <row r="19" spans="1:34" x14ac:dyDescent="0.2">
      <c r="A19" s="39" t="str">
        <f>Players!$A$16</f>
        <v>Henry Holst</v>
      </c>
      <c r="B19" s="40" t="str">
        <f>Players!$B$16</f>
        <v>Wydom’s Woodies</v>
      </c>
      <c r="C19" s="41">
        <f>Players!$C$16</f>
        <v>19</v>
      </c>
      <c r="D19" s="41">
        <f>Players!$D$16</f>
        <v>11</v>
      </c>
      <c r="E19" s="51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41" t="str">
        <f t="shared" si="0"/>
        <v/>
      </c>
      <c r="Y19" s="41">
        <f t="shared" si="1"/>
        <v>0</v>
      </c>
      <c r="Z19" s="41" t="str">
        <f t="shared" si="2"/>
        <v/>
      </c>
      <c r="AA19" s="41" t="str">
        <f t="shared" si="3"/>
        <v/>
      </c>
      <c r="AB19" s="43" t="str">
        <f t="shared" si="4"/>
        <v/>
      </c>
      <c r="AC19" s="41">
        <f t="shared" si="5"/>
        <v>0</v>
      </c>
      <c r="AD19" s="12" t="str">
        <f t="shared" si="6"/>
        <v/>
      </c>
      <c r="AE19" s="38" t="str">
        <f t="shared" si="7"/>
        <v/>
      </c>
      <c r="AF19" s="9" t="str">
        <f t="shared" si="8"/>
        <v/>
      </c>
      <c r="AG19" s="9"/>
      <c r="AH19" s="9"/>
    </row>
    <row r="20" spans="1:34" x14ac:dyDescent="0.2">
      <c r="A20" s="20" t="str">
        <f>Players!$A$17</f>
        <v>Chad Stone</v>
      </c>
      <c r="B20" s="21" t="str">
        <f>Players!$B$17</f>
        <v>Putting Balls in the Hole</v>
      </c>
      <c r="C20" s="12">
        <f>Players!$C$17</f>
        <v>23</v>
      </c>
      <c r="D20" s="12">
        <f>Players!$D$17</f>
        <v>15</v>
      </c>
      <c r="E20" s="51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12" t="str">
        <f t="shared" si="0"/>
        <v/>
      </c>
      <c r="Y20" s="12">
        <f t="shared" si="1"/>
        <v>0</v>
      </c>
      <c r="Z20" s="12" t="str">
        <f t="shared" si="2"/>
        <v/>
      </c>
      <c r="AA20" s="12" t="str">
        <f t="shared" si="3"/>
        <v/>
      </c>
      <c r="AB20" s="38" t="str">
        <f t="shared" si="4"/>
        <v/>
      </c>
      <c r="AC20" s="12">
        <f t="shared" si="5"/>
        <v>0</v>
      </c>
      <c r="AD20" s="12" t="str">
        <f t="shared" si="6"/>
        <v/>
      </c>
      <c r="AE20" s="38" t="str">
        <f t="shared" si="7"/>
        <v/>
      </c>
      <c r="AF20" s="9" t="str">
        <f t="shared" si="8"/>
        <v/>
      </c>
      <c r="AG20" s="9"/>
      <c r="AH20" s="9"/>
    </row>
    <row r="21" spans="1:34" x14ac:dyDescent="0.2">
      <c r="A21" s="20" t="str">
        <f>Players!$A$18</f>
        <v>Tom Devine</v>
      </c>
      <c r="B21" s="21" t="str">
        <f>Players!$B$18</f>
        <v>Putting Balls in the Hole</v>
      </c>
      <c r="C21" s="12">
        <f>Players!$C$18</f>
        <v>17</v>
      </c>
      <c r="D21" s="12">
        <f>Players!$D$18</f>
        <v>9</v>
      </c>
      <c r="E21" s="51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12" t="str">
        <f t="shared" si="0"/>
        <v/>
      </c>
      <c r="Y21" s="12">
        <f t="shared" si="1"/>
        <v>0</v>
      </c>
      <c r="Z21" s="12" t="str">
        <f t="shared" si="2"/>
        <v/>
      </c>
      <c r="AA21" s="12" t="str">
        <f t="shared" si="3"/>
        <v/>
      </c>
      <c r="AB21" s="38" t="str">
        <f t="shared" si="4"/>
        <v/>
      </c>
      <c r="AC21" s="12">
        <f t="shared" si="5"/>
        <v>0</v>
      </c>
      <c r="AD21" s="12" t="str">
        <f t="shared" si="6"/>
        <v/>
      </c>
      <c r="AE21" s="38" t="str">
        <f t="shared" si="7"/>
        <v/>
      </c>
      <c r="AF21" s="9" t="str">
        <f t="shared" si="8"/>
        <v/>
      </c>
      <c r="AG21" s="9"/>
      <c r="AH21" s="9"/>
    </row>
    <row r="22" spans="1:34" x14ac:dyDescent="0.2">
      <c r="A22" s="20" t="str">
        <f>Players!$A$19</f>
        <v>Mike Warenda</v>
      </c>
      <c r="B22" s="21" t="str">
        <f>Players!$B$19</f>
        <v>Putting Balls in the Hole</v>
      </c>
      <c r="C22" s="12">
        <f>Players!$C$19</f>
        <v>21</v>
      </c>
      <c r="D22" s="12">
        <f>Players!$D$19</f>
        <v>13</v>
      </c>
      <c r="E22" s="51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12" t="str">
        <f t="shared" si="0"/>
        <v/>
      </c>
      <c r="Y22" s="12">
        <f t="shared" si="1"/>
        <v>0</v>
      </c>
      <c r="Z22" s="12" t="str">
        <f t="shared" si="2"/>
        <v/>
      </c>
      <c r="AA22" s="12" t="str">
        <f t="shared" si="3"/>
        <v/>
      </c>
      <c r="AB22" s="38" t="str">
        <f t="shared" si="4"/>
        <v/>
      </c>
      <c r="AC22" s="12">
        <f t="shared" si="5"/>
        <v>0</v>
      </c>
      <c r="AD22" s="12" t="str">
        <f t="shared" si="6"/>
        <v/>
      </c>
      <c r="AE22" s="38" t="str">
        <f t="shared" si="7"/>
        <v/>
      </c>
      <c r="AF22" s="9" t="str">
        <f t="shared" si="8"/>
        <v/>
      </c>
      <c r="AG22" s="9"/>
      <c r="AH22" s="9"/>
    </row>
    <row r="23" spans="1:34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spans="1:34" ht="30" customHeight="1" x14ac:dyDescent="0.2">
      <c r="A24" s="9"/>
      <c r="B24" s="9"/>
      <c r="C24" s="9"/>
      <c r="D24" s="9"/>
      <c r="E24" s="44" t="s">
        <v>109</v>
      </c>
      <c r="F24" s="45" t="str">
        <f t="shared" ref="F24:W24" si="9">IF(COUNT(F46:F60)&lt;15,"",IF(COUNTIF(F46:F60,MIN(F46:F60))&gt;1,"tie",INDEX($A$8:$A$22,MATCH(MIN(F46:F60),F46:F60,0))))</f>
        <v/>
      </c>
      <c r="G24" s="45" t="str">
        <f t="shared" si="9"/>
        <v/>
      </c>
      <c r="H24" s="45" t="str">
        <f t="shared" si="9"/>
        <v/>
      </c>
      <c r="I24" s="45" t="str">
        <f t="shared" si="9"/>
        <v/>
      </c>
      <c r="J24" s="45" t="str">
        <f t="shared" si="9"/>
        <v/>
      </c>
      <c r="K24" s="45" t="str">
        <f t="shared" si="9"/>
        <v/>
      </c>
      <c r="L24" s="45" t="str">
        <f t="shared" si="9"/>
        <v/>
      </c>
      <c r="M24" s="45" t="str">
        <f t="shared" si="9"/>
        <v/>
      </c>
      <c r="N24" s="45" t="str">
        <f t="shared" si="9"/>
        <v/>
      </c>
      <c r="O24" s="45" t="str">
        <f t="shared" si="9"/>
        <v/>
      </c>
      <c r="P24" s="45" t="str">
        <f t="shared" si="9"/>
        <v/>
      </c>
      <c r="Q24" s="45" t="str">
        <f t="shared" si="9"/>
        <v/>
      </c>
      <c r="R24" s="45" t="str">
        <f t="shared" si="9"/>
        <v/>
      </c>
      <c r="S24" s="45" t="str">
        <f t="shared" si="9"/>
        <v/>
      </c>
      <c r="T24" s="45" t="str">
        <f t="shared" si="9"/>
        <v/>
      </c>
      <c r="U24" s="45" t="str">
        <f t="shared" si="9"/>
        <v/>
      </c>
      <c r="V24" s="45" t="str">
        <f t="shared" si="9"/>
        <v/>
      </c>
      <c r="W24" s="45" t="str">
        <f t="shared" si="9"/>
        <v/>
      </c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spans="1:34" x14ac:dyDescent="0.2">
      <c r="A25" s="9"/>
      <c r="B25" s="9"/>
      <c r="C25" s="9"/>
      <c r="D25" s="9"/>
      <c r="E25" s="46" t="s">
        <v>110</v>
      </c>
      <c r="F25" s="11">
        <f>COUNTIF(F24:W24,"?*")-COUNTIF(F24:W24,"tie")</f>
        <v>0</v>
      </c>
      <c r="G25" s="9"/>
      <c r="H25" s="46" t="s">
        <v>111</v>
      </c>
      <c r="I25" s="47">
        <f>IF(F25=0,0,Leaderboard!$B$3/F25)</f>
        <v>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spans="1:34" x14ac:dyDescent="0.2">
      <c r="A26" s="50" t="s">
        <v>129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spans="1:34" x14ac:dyDescent="0.2">
      <c r="A27" s="48" t="s">
        <v>112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spans="1:34" x14ac:dyDescent="0.2">
      <c r="A28" s="49" t="str">
        <f t="shared" ref="A28:A42" si="10">A8</f>
        <v>Frank Barta</v>
      </c>
      <c r="B28" s="9"/>
      <c r="C28" s="9"/>
      <c r="D28" s="9"/>
      <c r="E28" s="9"/>
      <c r="F28" s="25">
        <f t="shared" ref="F28:W28" si="11">INT($D8/18)+IF(F$6&lt;=MOD($D8,18),1,0)</f>
        <v>0</v>
      </c>
      <c r="G28" s="25">
        <f t="shared" si="11"/>
        <v>0</v>
      </c>
      <c r="H28" s="25">
        <f t="shared" si="11"/>
        <v>0</v>
      </c>
      <c r="I28" s="25">
        <f t="shared" si="11"/>
        <v>0</v>
      </c>
      <c r="J28" s="25">
        <f t="shared" si="11"/>
        <v>0</v>
      </c>
      <c r="K28" s="25">
        <f t="shared" si="11"/>
        <v>0</v>
      </c>
      <c r="L28" s="25">
        <f t="shared" si="11"/>
        <v>0</v>
      </c>
      <c r="M28" s="25">
        <f t="shared" si="11"/>
        <v>0</v>
      </c>
      <c r="N28" s="25">
        <f t="shared" si="11"/>
        <v>0</v>
      </c>
      <c r="O28" s="25">
        <f t="shared" si="11"/>
        <v>0</v>
      </c>
      <c r="P28" s="25">
        <f t="shared" si="11"/>
        <v>0</v>
      </c>
      <c r="Q28" s="25">
        <f t="shared" si="11"/>
        <v>0</v>
      </c>
      <c r="R28" s="25">
        <f t="shared" si="11"/>
        <v>0</v>
      </c>
      <c r="S28" s="25">
        <f t="shared" si="11"/>
        <v>0</v>
      </c>
      <c r="T28" s="25">
        <f t="shared" si="11"/>
        <v>0</v>
      </c>
      <c r="U28" s="25">
        <f t="shared" si="11"/>
        <v>0</v>
      </c>
      <c r="V28" s="25">
        <f t="shared" si="11"/>
        <v>0</v>
      </c>
      <c r="W28" s="25">
        <f t="shared" si="11"/>
        <v>0</v>
      </c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spans="1:34" x14ac:dyDescent="0.2">
      <c r="A29" s="49" t="str">
        <f t="shared" si="10"/>
        <v>Marc Wydom</v>
      </c>
      <c r="B29" s="9"/>
      <c r="C29" s="9"/>
      <c r="D29" s="9"/>
      <c r="E29" s="9"/>
      <c r="F29" s="25">
        <f t="shared" ref="F29:W29" si="12">INT($D9/18)+IF(F$6&lt;=MOD($D9,18),1,0)</f>
        <v>0</v>
      </c>
      <c r="G29" s="25">
        <f t="shared" si="12"/>
        <v>1</v>
      </c>
      <c r="H29" s="25">
        <f t="shared" si="12"/>
        <v>1</v>
      </c>
      <c r="I29" s="25">
        <f t="shared" si="12"/>
        <v>1</v>
      </c>
      <c r="J29" s="25">
        <f t="shared" si="12"/>
        <v>1</v>
      </c>
      <c r="K29" s="25">
        <f t="shared" si="12"/>
        <v>0</v>
      </c>
      <c r="L29" s="25">
        <f t="shared" si="12"/>
        <v>0</v>
      </c>
      <c r="M29" s="25">
        <f t="shared" si="12"/>
        <v>0</v>
      </c>
      <c r="N29" s="25">
        <f t="shared" si="12"/>
        <v>0</v>
      </c>
      <c r="O29" s="25">
        <f t="shared" si="12"/>
        <v>1</v>
      </c>
      <c r="P29" s="25">
        <f t="shared" si="12"/>
        <v>0</v>
      </c>
      <c r="Q29" s="25">
        <f t="shared" si="12"/>
        <v>1</v>
      </c>
      <c r="R29" s="25">
        <f t="shared" si="12"/>
        <v>0</v>
      </c>
      <c r="S29" s="25">
        <f t="shared" si="12"/>
        <v>1</v>
      </c>
      <c r="T29" s="25">
        <f t="shared" si="12"/>
        <v>0</v>
      </c>
      <c r="U29" s="25">
        <f t="shared" si="12"/>
        <v>1</v>
      </c>
      <c r="V29" s="25">
        <f t="shared" si="12"/>
        <v>0</v>
      </c>
      <c r="W29" s="25">
        <f t="shared" si="12"/>
        <v>0</v>
      </c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spans="1:34" x14ac:dyDescent="0.2">
      <c r="A30" s="49" t="str">
        <f t="shared" si="10"/>
        <v>Donnie Muller</v>
      </c>
      <c r="B30" s="9"/>
      <c r="C30" s="9"/>
      <c r="D30" s="9"/>
      <c r="E30" s="9"/>
      <c r="F30" s="25">
        <f t="shared" ref="F30:W30" si="13">INT($D10/18)+IF(F$6&lt;=MOD($D10,18),1,0)</f>
        <v>0</v>
      </c>
      <c r="G30" s="25">
        <f t="shared" si="13"/>
        <v>1</v>
      </c>
      <c r="H30" s="25">
        <f t="shared" si="13"/>
        <v>1</v>
      </c>
      <c r="I30" s="25">
        <f t="shared" si="13"/>
        <v>1</v>
      </c>
      <c r="J30" s="25">
        <f t="shared" si="13"/>
        <v>1</v>
      </c>
      <c r="K30" s="25">
        <f t="shared" si="13"/>
        <v>0</v>
      </c>
      <c r="L30" s="25">
        <f t="shared" si="13"/>
        <v>1</v>
      </c>
      <c r="M30" s="25">
        <f t="shared" si="13"/>
        <v>0</v>
      </c>
      <c r="N30" s="25">
        <f t="shared" si="13"/>
        <v>1</v>
      </c>
      <c r="O30" s="25">
        <f t="shared" si="13"/>
        <v>1</v>
      </c>
      <c r="P30" s="25">
        <f t="shared" si="13"/>
        <v>0</v>
      </c>
      <c r="Q30" s="25">
        <f t="shared" si="13"/>
        <v>1</v>
      </c>
      <c r="R30" s="25">
        <f t="shared" si="13"/>
        <v>1</v>
      </c>
      <c r="S30" s="25">
        <f t="shared" si="13"/>
        <v>1</v>
      </c>
      <c r="T30" s="25">
        <f t="shared" si="13"/>
        <v>0</v>
      </c>
      <c r="U30" s="25">
        <f t="shared" si="13"/>
        <v>1</v>
      </c>
      <c r="V30" s="25">
        <f t="shared" si="13"/>
        <v>0</v>
      </c>
      <c r="W30" s="25">
        <f t="shared" si="13"/>
        <v>0</v>
      </c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spans="1:34" x14ac:dyDescent="0.2">
      <c r="A31" s="49" t="str">
        <f t="shared" si="10"/>
        <v>Tommy Duncan</v>
      </c>
      <c r="B31" s="9"/>
      <c r="C31" s="9"/>
      <c r="D31" s="9"/>
      <c r="E31" s="9"/>
      <c r="F31" s="25">
        <f t="shared" ref="F31:W31" si="14">INT($D11/18)+IF(F$6&lt;=MOD($D11,18),1,0)</f>
        <v>0</v>
      </c>
      <c r="G31" s="25">
        <f t="shared" si="14"/>
        <v>1</v>
      </c>
      <c r="H31" s="25">
        <f t="shared" si="14"/>
        <v>1</v>
      </c>
      <c r="I31" s="25">
        <f t="shared" si="14"/>
        <v>1</v>
      </c>
      <c r="J31" s="25">
        <f t="shared" si="14"/>
        <v>1</v>
      </c>
      <c r="K31" s="25">
        <f t="shared" si="14"/>
        <v>1</v>
      </c>
      <c r="L31" s="25">
        <f t="shared" si="14"/>
        <v>1</v>
      </c>
      <c r="M31" s="25">
        <f t="shared" si="14"/>
        <v>1</v>
      </c>
      <c r="N31" s="25">
        <f t="shared" si="14"/>
        <v>1</v>
      </c>
      <c r="O31" s="25">
        <f t="shared" si="14"/>
        <v>1</v>
      </c>
      <c r="P31" s="25">
        <f t="shared" si="14"/>
        <v>0</v>
      </c>
      <c r="Q31" s="25">
        <f t="shared" si="14"/>
        <v>1</v>
      </c>
      <c r="R31" s="25">
        <f t="shared" si="14"/>
        <v>1</v>
      </c>
      <c r="S31" s="25">
        <f t="shared" si="14"/>
        <v>1</v>
      </c>
      <c r="T31" s="25">
        <f t="shared" si="14"/>
        <v>1</v>
      </c>
      <c r="U31" s="25">
        <f t="shared" si="14"/>
        <v>1</v>
      </c>
      <c r="V31" s="25">
        <f t="shared" si="14"/>
        <v>1</v>
      </c>
      <c r="W31" s="25">
        <f t="shared" si="14"/>
        <v>1</v>
      </c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4" x14ac:dyDescent="0.2">
      <c r="A32" s="49" t="str">
        <f t="shared" si="10"/>
        <v>Jason Kimbo</v>
      </c>
      <c r="B32" s="9"/>
      <c r="C32" s="9"/>
      <c r="D32" s="9"/>
      <c r="E32" s="9"/>
      <c r="F32" s="25">
        <f t="shared" ref="F32:W32" si="15">INT($D12/18)+IF(F$6&lt;=MOD($D12,18),1,0)</f>
        <v>0</v>
      </c>
      <c r="G32" s="25">
        <f t="shared" si="15"/>
        <v>1</v>
      </c>
      <c r="H32" s="25">
        <f t="shared" si="15"/>
        <v>1</v>
      </c>
      <c r="I32" s="25">
        <f t="shared" si="15"/>
        <v>1</v>
      </c>
      <c r="J32" s="25">
        <f t="shared" si="15"/>
        <v>1</v>
      </c>
      <c r="K32" s="25">
        <f t="shared" si="15"/>
        <v>0</v>
      </c>
      <c r="L32" s="25">
        <f t="shared" si="15"/>
        <v>1</v>
      </c>
      <c r="M32" s="25">
        <f t="shared" si="15"/>
        <v>0</v>
      </c>
      <c r="N32" s="25">
        <f t="shared" si="15"/>
        <v>0</v>
      </c>
      <c r="O32" s="25">
        <f t="shared" si="15"/>
        <v>1</v>
      </c>
      <c r="P32" s="25">
        <f t="shared" si="15"/>
        <v>0</v>
      </c>
      <c r="Q32" s="25">
        <f t="shared" si="15"/>
        <v>1</v>
      </c>
      <c r="R32" s="25">
        <f t="shared" si="15"/>
        <v>0</v>
      </c>
      <c r="S32" s="25">
        <f t="shared" si="15"/>
        <v>1</v>
      </c>
      <c r="T32" s="25">
        <f t="shared" si="15"/>
        <v>0</v>
      </c>
      <c r="U32" s="25">
        <f t="shared" si="15"/>
        <v>1</v>
      </c>
      <c r="V32" s="25">
        <f t="shared" si="15"/>
        <v>0</v>
      </c>
      <c r="W32" s="25">
        <f t="shared" si="15"/>
        <v>0</v>
      </c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spans="1:34" x14ac:dyDescent="0.2">
      <c r="A33" s="49" t="str">
        <f t="shared" si="10"/>
        <v>Spencer Friend</v>
      </c>
      <c r="B33" s="9"/>
      <c r="C33" s="9"/>
      <c r="D33" s="9"/>
      <c r="E33" s="9"/>
      <c r="F33" s="25">
        <f t="shared" ref="F33:W33" si="16">INT($D13/18)+IF(F$6&lt;=MOD($D13,18),1,0)</f>
        <v>0</v>
      </c>
      <c r="G33" s="25">
        <f t="shared" si="16"/>
        <v>1</v>
      </c>
      <c r="H33" s="25">
        <f t="shared" si="16"/>
        <v>0</v>
      </c>
      <c r="I33" s="25">
        <f t="shared" si="16"/>
        <v>0</v>
      </c>
      <c r="J33" s="25">
        <f t="shared" si="16"/>
        <v>0</v>
      </c>
      <c r="K33" s="25">
        <f t="shared" si="16"/>
        <v>0</v>
      </c>
      <c r="L33" s="25">
        <f t="shared" si="16"/>
        <v>0</v>
      </c>
      <c r="M33" s="25">
        <f t="shared" si="16"/>
        <v>0</v>
      </c>
      <c r="N33" s="25">
        <f t="shared" si="16"/>
        <v>0</v>
      </c>
      <c r="O33" s="25">
        <f t="shared" si="16"/>
        <v>0</v>
      </c>
      <c r="P33" s="25">
        <f t="shared" si="16"/>
        <v>0</v>
      </c>
      <c r="Q33" s="25">
        <f t="shared" si="16"/>
        <v>0</v>
      </c>
      <c r="R33" s="25">
        <f t="shared" si="16"/>
        <v>0</v>
      </c>
      <c r="S33" s="25">
        <f t="shared" si="16"/>
        <v>0</v>
      </c>
      <c r="T33" s="25">
        <f t="shared" si="16"/>
        <v>0</v>
      </c>
      <c r="U33" s="25">
        <f t="shared" si="16"/>
        <v>0</v>
      </c>
      <c r="V33" s="25">
        <f t="shared" si="16"/>
        <v>0</v>
      </c>
      <c r="W33" s="25">
        <f t="shared" si="16"/>
        <v>0</v>
      </c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x14ac:dyDescent="0.2">
      <c r="A34" s="49" t="str">
        <f t="shared" si="10"/>
        <v>Ben Young</v>
      </c>
      <c r="B34" s="9"/>
      <c r="C34" s="9"/>
      <c r="D34" s="9"/>
      <c r="E34" s="9"/>
      <c r="F34" s="25">
        <f t="shared" ref="F34:W34" si="17">INT($D14/18)+IF(F$6&lt;=MOD($D14,18),1,0)</f>
        <v>0</v>
      </c>
      <c r="G34" s="25">
        <f t="shared" si="17"/>
        <v>1</v>
      </c>
      <c r="H34" s="25">
        <f t="shared" si="17"/>
        <v>1</v>
      </c>
      <c r="I34" s="25">
        <f t="shared" si="17"/>
        <v>1</v>
      </c>
      <c r="J34" s="25">
        <f t="shared" si="17"/>
        <v>1</v>
      </c>
      <c r="K34" s="25">
        <f t="shared" si="17"/>
        <v>0</v>
      </c>
      <c r="L34" s="25">
        <f t="shared" si="17"/>
        <v>1</v>
      </c>
      <c r="M34" s="25">
        <f t="shared" si="17"/>
        <v>0</v>
      </c>
      <c r="N34" s="25">
        <f t="shared" si="17"/>
        <v>0</v>
      </c>
      <c r="O34" s="25">
        <f t="shared" si="17"/>
        <v>1</v>
      </c>
      <c r="P34" s="25">
        <f t="shared" si="17"/>
        <v>0</v>
      </c>
      <c r="Q34" s="25">
        <f t="shared" si="17"/>
        <v>1</v>
      </c>
      <c r="R34" s="25">
        <f t="shared" si="17"/>
        <v>1</v>
      </c>
      <c r="S34" s="25">
        <f t="shared" si="17"/>
        <v>1</v>
      </c>
      <c r="T34" s="25">
        <f t="shared" si="17"/>
        <v>0</v>
      </c>
      <c r="U34" s="25">
        <f t="shared" si="17"/>
        <v>1</v>
      </c>
      <c r="V34" s="25">
        <f t="shared" si="17"/>
        <v>0</v>
      </c>
      <c r="W34" s="25">
        <f t="shared" si="17"/>
        <v>0</v>
      </c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spans="1:34" x14ac:dyDescent="0.2">
      <c r="A35" s="49" t="str">
        <f t="shared" si="10"/>
        <v>Justin Conrad</v>
      </c>
      <c r="B35" s="9"/>
      <c r="C35" s="9"/>
      <c r="D35" s="9"/>
      <c r="E35" s="9"/>
      <c r="F35" s="25">
        <f t="shared" ref="F35:W35" si="18">INT($D15/18)+IF(F$6&lt;=MOD($D15,18),1,0)</f>
        <v>1</v>
      </c>
      <c r="G35" s="25">
        <f t="shared" si="18"/>
        <v>2</v>
      </c>
      <c r="H35" s="25">
        <f t="shared" si="18"/>
        <v>1</v>
      </c>
      <c r="I35" s="25">
        <f t="shared" si="18"/>
        <v>2</v>
      </c>
      <c r="J35" s="25">
        <f t="shared" si="18"/>
        <v>1</v>
      </c>
      <c r="K35" s="25">
        <f t="shared" si="18"/>
        <v>1</v>
      </c>
      <c r="L35" s="25">
        <f t="shared" si="18"/>
        <v>1</v>
      </c>
      <c r="M35" s="25">
        <f t="shared" si="18"/>
        <v>1</v>
      </c>
      <c r="N35" s="25">
        <f t="shared" si="18"/>
        <v>1</v>
      </c>
      <c r="O35" s="25">
        <f t="shared" si="18"/>
        <v>2</v>
      </c>
      <c r="P35" s="25">
        <f t="shared" si="18"/>
        <v>1</v>
      </c>
      <c r="Q35" s="25">
        <f t="shared" si="18"/>
        <v>1</v>
      </c>
      <c r="R35" s="25">
        <f t="shared" si="18"/>
        <v>1</v>
      </c>
      <c r="S35" s="25">
        <f t="shared" si="18"/>
        <v>2</v>
      </c>
      <c r="T35" s="25">
        <f t="shared" si="18"/>
        <v>1</v>
      </c>
      <c r="U35" s="25">
        <f t="shared" si="18"/>
        <v>1</v>
      </c>
      <c r="V35" s="25">
        <f t="shared" si="18"/>
        <v>1</v>
      </c>
      <c r="W35" s="25">
        <f t="shared" si="18"/>
        <v>1</v>
      </c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4" x14ac:dyDescent="0.2">
      <c r="A36" s="49" t="str">
        <f t="shared" si="10"/>
        <v>Shawn McMaster</v>
      </c>
      <c r="B36" s="9"/>
      <c r="C36" s="9"/>
      <c r="D36" s="9"/>
      <c r="E36" s="9"/>
      <c r="F36" s="25">
        <f t="shared" ref="F36:W36" si="19">INT($D16/18)+IF(F$6&lt;=MOD($D16,18),1,0)</f>
        <v>0</v>
      </c>
      <c r="G36" s="25">
        <f t="shared" si="19"/>
        <v>1</v>
      </c>
      <c r="H36" s="25">
        <f t="shared" si="19"/>
        <v>1</v>
      </c>
      <c r="I36" s="25">
        <f t="shared" si="19"/>
        <v>1</v>
      </c>
      <c r="J36" s="25">
        <f t="shared" si="19"/>
        <v>1</v>
      </c>
      <c r="K36" s="25">
        <f t="shared" si="19"/>
        <v>0</v>
      </c>
      <c r="L36" s="25">
        <f t="shared" si="19"/>
        <v>1</v>
      </c>
      <c r="M36" s="25">
        <f t="shared" si="19"/>
        <v>0</v>
      </c>
      <c r="N36" s="25">
        <f t="shared" si="19"/>
        <v>1</v>
      </c>
      <c r="O36" s="25">
        <f t="shared" si="19"/>
        <v>1</v>
      </c>
      <c r="P36" s="25">
        <f t="shared" si="19"/>
        <v>0</v>
      </c>
      <c r="Q36" s="25">
        <f t="shared" si="19"/>
        <v>1</v>
      </c>
      <c r="R36" s="25">
        <f t="shared" si="19"/>
        <v>1</v>
      </c>
      <c r="S36" s="25">
        <f t="shared" si="19"/>
        <v>1</v>
      </c>
      <c r="T36" s="25">
        <f t="shared" si="19"/>
        <v>0</v>
      </c>
      <c r="U36" s="25">
        <f t="shared" si="19"/>
        <v>1</v>
      </c>
      <c r="V36" s="25">
        <f t="shared" si="19"/>
        <v>0</v>
      </c>
      <c r="W36" s="25">
        <f t="shared" si="19"/>
        <v>0</v>
      </c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spans="1:34" x14ac:dyDescent="0.2">
      <c r="A37" s="49" t="str">
        <f t="shared" si="10"/>
        <v>Ian Dempsey</v>
      </c>
      <c r="B37" s="9"/>
      <c r="C37" s="9"/>
      <c r="D37" s="9"/>
      <c r="E37" s="9"/>
      <c r="F37" s="25">
        <f t="shared" ref="F37:W37" si="20">INT($D17/18)+IF(F$6&lt;=MOD($D17,18),1,0)</f>
        <v>0</v>
      </c>
      <c r="G37" s="25">
        <f t="shared" si="20"/>
        <v>1</v>
      </c>
      <c r="H37" s="25">
        <f t="shared" si="20"/>
        <v>1</v>
      </c>
      <c r="I37" s="25">
        <f t="shared" si="20"/>
        <v>1</v>
      </c>
      <c r="J37" s="25">
        <f t="shared" si="20"/>
        <v>1</v>
      </c>
      <c r="K37" s="25">
        <f t="shared" si="20"/>
        <v>1</v>
      </c>
      <c r="L37" s="25">
        <f t="shared" si="20"/>
        <v>1</v>
      </c>
      <c r="M37" s="25">
        <f t="shared" si="20"/>
        <v>0</v>
      </c>
      <c r="N37" s="25">
        <f t="shared" si="20"/>
        <v>1</v>
      </c>
      <c r="O37" s="25">
        <f t="shared" si="20"/>
        <v>1</v>
      </c>
      <c r="P37" s="25">
        <f t="shared" si="20"/>
        <v>0</v>
      </c>
      <c r="Q37" s="25">
        <f t="shared" si="20"/>
        <v>1</v>
      </c>
      <c r="R37" s="25">
        <f t="shared" si="20"/>
        <v>1</v>
      </c>
      <c r="S37" s="25">
        <f t="shared" si="20"/>
        <v>1</v>
      </c>
      <c r="T37" s="25">
        <f t="shared" si="20"/>
        <v>1</v>
      </c>
      <c r="U37" s="25">
        <f t="shared" si="20"/>
        <v>1</v>
      </c>
      <c r="V37" s="25">
        <f t="shared" si="20"/>
        <v>0</v>
      </c>
      <c r="W37" s="25">
        <f t="shared" si="20"/>
        <v>0</v>
      </c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spans="1:34" x14ac:dyDescent="0.2">
      <c r="A38" s="49" t="str">
        <f t="shared" si="10"/>
        <v>Nick Roy</v>
      </c>
      <c r="B38" s="9"/>
      <c r="C38" s="9"/>
      <c r="D38" s="9"/>
      <c r="E38" s="9"/>
      <c r="F38" s="25">
        <f t="shared" ref="F38:W38" si="21">INT($D18/18)+IF(F$6&lt;=MOD($D18,18),1,0)</f>
        <v>0</v>
      </c>
      <c r="G38" s="25">
        <f t="shared" si="21"/>
        <v>1</v>
      </c>
      <c r="H38" s="25">
        <f t="shared" si="21"/>
        <v>1</v>
      </c>
      <c r="I38" s="25">
        <f t="shared" si="21"/>
        <v>1</v>
      </c>
      <c r="J38" s="25">
        <f t="shared" si="21"/>
        <v>1</v>
      </c>
      <c r="K38" s="25">
        <f t="shared" si="21"/>
        <v>1</v>
      </c>
      <c r="L38" s="25">
        <f t="shared" si="21"/>
        <v>1</v>
      </c>
      <c r="M38" s="25">
        <f t="shared" si="21"/>
        <v>0</v>
      </c>
      <c r="N38" s="25">
        <f t="shared" si="21"/>
        <v>1</v>
      </c>
      <c r="O38" s="25">
        <f t="shared" si="21"/>
        <v>1</v>
      </c>
      <c r="P38" s="25">
        <f t="shared" si="21"/>
        <v>0</v>
      </c>
      <c r="Q38" s="25">
        <f t="shared" si="21"/>
        <v>1</v>
      </c>
      <c r="R38" s="25">
        <f t="shared" si="21"/>
        <v>1</v>
      </c>
      <c r="S38" s="25">
        <f t="shared" si="21"/>
        <v>1</v>
      </c>
      <c r="T38" s="25">
        <f t="shared" si="21"/>
        <v>1</v>
      </c>
      <c r="U38" s="25">
        <f t="shared" si="21"/>
        <v>1</v>
      </c>
      <c r="V38" s="25">
        <f t="shared" si="21"/>
        <v>0</v>
      </c>
      <c r="W38" s="25">
        <f t="shared" si="21"/>
        <v>0</v>
      </c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spans="1:34" x14ac:dyDescent="0.2">
      <c r="A39" s="49" t="str">
        <f t="shared" si="10"/>
        <v>Henry Holst</v>
      </c>
      <c r="B39" s="9"/>
      <c r="C39" s="9"/>
      <c r="D39" s="9"/>
      <c r="E39" s="9"/>
      <c r="F39" s="25">
        <f t="shared" ref="F39:W39" si="22">INT($D19/18)+IF(F$6&lt;=MOD($D19,18),1,0)</f>
        <v>0</v>
      </c>
      <c r="G39" s="25">
        <f t="shared" si="22"/>
        <v>1</v>
      </c>
      <c r="H39" s="25">
        <f t="shared" si="22"/>
        <v>1</v>
      </c>
      <c r="I39" s="25">
        <f t="shared" si="22"/>
        <v>1</v>
      </c>
      <c r="J39" s="25">
        <f t="shared" si="22"/>
        <v>1</v>
      </c>
      <c r="K39" s="25">
        <f t="shared" si="22"/>
        <v>0</v>
      </c>
      <c r="L39" s="25">
        <f t="shared" si="22"/>
        <v>1</v>
      </c>
      <c r="M39" s="25">
        <f t="shared" si="22"/>
        <v>0</v>
      </c>
      <c r="N39" s="25">
        <f t="shared" si="22"/>
        <v>1</v>
      </c>
      <c r="O39" s="25">
        <f t="shared" si="22"/>
        <v>1</v>
      </c>
      <c r="P39" s="25">
        <f t="shared" si="22"/>
        <v>0</v>
      </c>
      <c r="Q39" s="25">
        <f t="shared" si="22"/>
        <v>1</v>
      </c>
      <c r="R39" s="25">
        <f t="shared" si="22"/>
        <v>1</v>
      </c>
      <c r="S39" s="25">
        <f t="shared" si="22"/>
        <v>1</v>
      </c>
      <c r="T39" s="25">
        <f t="shared" si="22"/>
        <v>0</v>
      </c>
      <c r="U39" s="25">
        <f t="shared" si="22"/>
        <v>1</v>
      </c>
      <c r="V39" s="25">
        <f t="shared" si="22"/>
        <v>0</v>
      </c>
      <c r="W39" s="25">
        <f t="shared" si="22"/>
        <v>0</v>
      </c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spans="1:34" x14ac:dyDescent="0.2">
      <c r="A40" s="49" t="str">
        <f t="shared" si="10"/>
        <v>Chad Stone</v>
      </c>
      <c r="B40" s="9"/>
      <c r="C40" s="9"/>
      <c r="D40" s="9"/>
      <c r="E40" s="9"/>
      <c r="F40" s="25">
        <f t="shared" ref="F40:W40" si="23">INT($D20/18)+IF(F$6&lt;=MOD($D20,18),1,0)</f>
        <v>0</v>
      </c>
      <c r="G40" s="25">
        <f t="shared" si="23"/>
        <v>1</v>
      </c>
      <c r="H40" s="25">
        <f t="shared" si="23"/>
        <v>1</v>
      </c>
      <c r="I40" s="25">
        <f t="shared" si="23"/>
        <v>1</v>
      </c>
      <c r="J40" s="25">
        <f t="shared" si="23"/>
        <v>1</v>
      </c>
      <c r="K40" s="25">
        <f t="shared" si="23"/>
        <v>1</v>
      </c>
      <c r="L40" s="25">
        <f t="shared" si="23"/>
        <v>1</v>
      </c>
      <c r="M40" s="25">
        <f t="shared" si="23"/>
        <v>1</v>
      </c>
      <c r="N40" s="25">
        <f t="shared" si="23"/>
        <v>1</v>
      </c>
      <c r="O40" s="25">
        <f t="shared" si="23"/>
        <v>1</v>
      </c>
      <c r="P40" s="25">
        <f t="shared" si="23"/>
        <v>0</v>
      </c>
      <c r="Q40" s="25">
        <f t="shared" si="23"/>
        <v>1</v>
      </c>
      <c r="R40" s="25">
        <f t="shared" si="23"/>
        <v>1</v>
      </c>
      <c r="S40" s="25">
        <f t="shared" si="23"/>
        <v>1</v>
      </c>
      <c r="T40" s="25">
        <f t="shared" si="23"/>
        <v>1</v>
      </c>
      <c r="U40" s="25">
        <f t="shared" si="23"/>
        <v>1</v>
      </c>
      <c r="V40" s="25">
        <f t="shared" si="23"/>
        <v>1</v>
      </c>
      <c r="W40" s="25">
        <f t="shared" si="23"/>
        <v>0</v>
      </c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spans="1:34" x14ac:dyDescent="0.2">
      <c r="A41" s="49" t="str">
        <f t="shared" si="10"/>
        <v>Tom Devine</v>
      </c>
      <c r="B41" s="9"/>
      <c r="C41" s="9"/>
      <c r="D41" s="9"/>
      <c r="E41" s="9"/>
      <c r="F41" s="25">
        <f t="shared" ref="F41:W41" si="24">INT($D21/18)+IF(F$6&lt;=MOD($D21,18),1,0)</f>
        <v>0</v>
      </c>
      <c r="G41" s="25">
        <f t="shared" si="24"/>
        <v>1</v>
      </c>
      <c r="H41" s="25">
        <f t="shared" si="24"/>
        <v>1</v>
      </c>
      <c r="I41" s="25">
        <f t="shared" si="24"/>
        <v>1</v>
      </c>
      <c r="J41" s="25">
        <f t="shared" si="24"/>
        <v>1</v>
      </c>
      <c r="K41" s="25">
        <f t="shared" si="24"/>
        <v>0</v>
      </c>
      <c r="L41" s="25">
        <f t="shared" si="24"/>
        <v>1</v>
      </c>
      <c r="M41" s="25">
        <f t="shared" si="24"/>
        <v>0</v>
      </c>
      <c r="N41" s="25">
        <f t="shared" si="24"/>
        <v>0</v>
      </c>
      <c r="O41" s="25">
        <f t="shared" si="24"/>
        <v>1</v>
      </c>
      <c r="P41" s="25">
        <f t="shared" si="24"/>
        <v>0</v>
      </c>
      <c r="Q41" s="25">
        <f t="shared" si="24"/>
        <v>1</v>
      </c>
      <c r="R41" s="25">
        <f t="shared" si="24"/>
        <v>0</v>
      </c>
      <c r="S41" s="25">
        <f t="shared" si="24"/>
        <v>1</v>
      </c>
      <c r="T41" s="25">
        <f t="shared" si="24"/>
        <v>0</v>
      </c>
      <c r="U41" s="25">
        <f t="shared" si="24"/>
        <v>1</v>
      </c>
      <c r="V41" s="25">
        <f t="shared" si="24"/>
        <v>0</v>
      </c>
      <c r="W41" s="25">
        <f t="shared" si="24"/>
        <v>0</v>
      </c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1:34" x14ac:dyDescent="0.2">
      <c r="A42" s="49" t="str">
        <f t="shared" si="10"/>
        <v>Mike Warenda</v>
      </c>
      <c r="B42" s="9"/>
      <c r="C42" s="9"/>
      <c r="D42" s="9"/>
      <c r="E42" s="9"/>
      <c r="F42" s="25">
        <f t="shared" ref="F42:W42" si="25">INT($D22/18)+IF(F$6&lt;=MOD($D22,18),1,0)</f>
        <v>0</v>
      </c>
      <c r="G42" s="25">
        <f t="shared" si="25"/>
        <v>1</v>
      </c>
      <c r="H42" s="25">
        <f t="shared" si="25"/>
        <v>1</v>
      </c>
      <c r="I42" s="25">
        <f t="shared" si="25"/>
        <v>1</v>
      </c>
      <c r="J42" s="25">
        <f t="shared" si="25"/>
        <v>1</v>
      </c>
      <c r="K42" s="25">
        <f t="shared" si="25"/>
        <v>1</v>
      </c>
      <c r="L42" s="25">
        <f t="shared" si="25"/>
        <v>1</v>
      </c>
      <c r="M42" s="25">
        <f t="shared" si="25"/>
        <v>0</v>
      </c>
      <c r="N42" s="25">
        <f t="shared" si="25"/>
        <v>1</v>
      </c>
      <c r="O42" s="25">
        <f t="shared" si="25"/>
        <v>1</v>
      </c>
      <c r="P42" s="25">
        <f t="shared" si="25"/>
        <v>0</v>
      </c>
      <c r="Q42" s="25">
        <f t="shared" si="25"/>
        <v>1</v>
      </c>
      <c r="R42" s="25">
        <f t="shared" si="25"/>
        <v>1</v>
      </c>
      <c r="S42" s="25">
        <f t="shared" si="25"/>
        <v>1</v>
      </c>
      <c r="T42" s="25">
        <f t="shared" si="25"/>
        <v>1</v>
      </c>
      <c r="U42" s="25">
        <f t="shared" si="25"/>
        <v>1</v>
      </c>
      <c r="V42" s="25">
        <f t="shared" si="25"/>
        <v>0</v>
      </c>
      <c r="W42" s="25">
        <f t="shared" si="25"/>
        <v>0</v>
      </c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spans="1:34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spans="1:34" x14ac:dyDescent="0.2">
      <c r="A45" s="48" t="s">
        <v>113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 spans="1:34" x14ac:dyDescent="0.2">
      <c r="A46" s="49" t="str">
        <f t="shared" ref="A46:A60" si="26">A8</f>
        <v>Frank Barta</v>
      </c>
      <c r="B46" s="9"/>
      <c r="C46" s="9"/>
      <c r="D46" s="9"/>
      <c r="E46" s="9"/>
      <c r="F46" s="25" t="str">
        <f t="shared" ref="F46:W46" si="27">IF(ISNUMBER(F8),F8-F28,"")</f>
        <v/>
      </c>
      <c r="G46" s="25" t="str">
        <f t="shared" si="27"/>
        <v/>
      </c>
      <c r="H46" s="25" t="str">
        <f t="shared" si="27"/>
        <v/>
      </c>
      <c r="I46" s="25" t="str">
        <f t="shared" si="27"/>
        <v/>
      </c>
      <c r="J46" s="25" t="str">
        <f t="shared" si="27"/>
        <v/>
      </c>
      <c r="K46" s="25" t="str">
        <f t="shared" si="27"/>
        <v/>
      </c>
      <c r="L46" s="25" t="str">
        <f t="shared" si="27"/>
        <v/>
      </c>
      <c r="M46" s="25" t="str">
        <f t="shared" si="27"/>
        <v/>
      </c>
      <c r="N46" s="25" t="str">
        <f t="shared" si="27"/>
        <v/>
      </c>
      <c r="O46" s="25" t="str">
        <f t="shared" si="27"/>
        <v/>
      </c>
      <c r="P46" s="25" t="str">
        <f t="shared" si="27"/>
        <v/>
      </c>
      <c r="Q46" s="25" t="str">
        <f t="shared" si="27"/>
        <v/>
      </c>
      <c r="R46" s="25" t="str">
        <f t="shared" si="27"/>
        <v/>
      </c>
      <c r="S46" s="25" t="str">
        <f t="shared" si="27"/>
        <v/>
      </c>
      <c r="T46" s="25" t="str">
        <f t="shared" si="27"/>
        <v/>
      </c>
      <c r="U46" s="25" t="str">
        <f t="shared" si="27"/>
        <v/>
      </c>
      <c r="V46" s="25" t="str">
        <f t="shared" si="27"/>
        <v/>
      </c>
      <c r="W46" s="25" t="str">
        <f t="shared" si="27"/>
        <v/>
      </c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spans="1:34" x14ac:dyDescent="0.2">
      <c r="A47" s="49" t="str">
        <f t="shared" si="26"/>
        <v>Marc Wydom</v>
      </c>
      <c r="B47" s="9"/>
      <c r="C47" s="9"/>
      <c r="D47" s="9"/>
      <c r="E47" s="9"/>
      <c r="F47" s="25" t="str">
        <f t="shared" ref="F47:W47" si="28">IF(ISNUMBER(F9),F9-F29,"")</f>
        <v/>
      </c>
      <c r="G47" s="25" t="str">
        <f t="shared" si="28"/>
        <v/>
      </c>
      <c r="H47" s="25" t="str">
        <f t="shared" si="28"/>
        <v/>
      </c>
      <c r="I47" s="25" t="str">
        <f t="shared" si="28"/>
        <v/>
      </c>
      <c r="J47" s="25" t="str">
        <f t="shared" si="28"/>
        <v/>
      </c>
      <c r="K47" s="25" t="str">
        <f t="shared" si="28"/>
        <v/>
      </c>
      <c r="L47" s="25" t="str">
        <f t="shared" si="28"/>
        <v/>
      </c>
      <c r="M47" s="25" t="str">
        <f t="shared" si="28"/>
        <v/>
      </c>
      <c r="N47" s="25" t="str">
        <f t="shared" si="28"/>
        <v/>
      </c>
      <c r="O47" s="25" t="str">
        <f t="shared" si="28"/>
        <v/>
      </c>
      <c r="P47" s="25" t="str">
        <f t="shared" si="28"/>
        <v/>
      </c>
      <c r="Q47" s="25" t="str">
        <f t="shared" si="28"/>
        <v/>
      </c>
      <c r="R47" s="25" t="str">
        <f t="shared" si="28"/>
        <v/>
      </c>
      <c r="S47" s="25" t="str">
        <f t="shared" si="28"/>
        <v/>
      </c>
      <c r="T47" s="25" t="str">
        <f t="shared" si="28"/>
        <v/>
      </c>
      <c r="U47" s="25" t="str">
        <f t="shared" si="28"/>
        <v/>
      </c>
      <c r="V47" s="25" t="str">
        <f t="shared" si="28"/>
        <v/>
      </c>
      <c r="W47" s="25" t="str">
        <f t="shared" si="28"/>
        <v/>
      </c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 spans="1:34" x14ac:dyDescent="0.2">
      <c r="A48" s="49" t="str">
        <f t="shared" si="26"/>
        <v>Donnie Muller</v>
      </c>
      <c r="B48" s="9"/>
      <c r="C48" s="9"/>
      <c r="D48" s="9"/>
      <c r="E48" s="9"/>
      <c r="F48" s="25" t="str">
        <f t="shared" ref="F48:W48" si="29">IF(ISNUMBER(F10),F10-F30,"")</f>
        <v/>
      </c>
      <c r="G48" s="25" t="str">
        <f t="shared" si="29"/>
        <v/>
      </c>
      <c r="H48" s="25" t="str">
        <f t="shared" si="29"/>
        <v/>
      </c>
      <c r="I48" s="25" t="str">
        <f t="shared" si="29"/>
        <v/>
      </c>
      <c r="J48" s="25" t="str">
        <f t="shared" si="29"/>
        <v/>
      </c>
      <c r="K48" s="25" t="str">
        <f t="shared" si="29"/>
        <v/>
      </c>
      <c r="L48" s="25" t="str">
        <f t="shared" si="29"/>
        <v/>
      </c>
      <c r="M48" s="25" t="str">
        <f t="shared" si="29"/>
        <v/>
      </c>
      <c r="N48" s="25" t="str">
        <f t="shared" si="29"/>
        <v/>
      </c>
      <c r="O48" s="25" t="str">
        <f t="shared" si="29"/>
        <v/>
      </c>
      <c r="P48" s="25" t="str">
        <f t="shared" si="29"/>
        <v/>
      </c>
      <c r="Q48" s="25" t="str">
        <f t="shared" si="29"/>
        <v/>
      </c>
      <c r="R48" s="25" t="str">
        <f t="shared" si="29"/>
        <v/>
      </c>
      <c r="S48" s="25" t="str">
        <f t="shared" si="29"/>
        <v/>
      </c>
      <c r="T48" s="25" t="str">
        <f t="shared" si="29"/>
        <v/>
      </c>
      <c r="U48" s="25" t="str">
        <f t="shared" si="29"/>
        <v/>
      </c>
      <c r="V48" s="25" t="str">
        <f t="shared" si="29"/>
        <v/>
      </c>
      <c r="W48" s="25" t="str">
        <f t="shared" si="29"/>
        <v/>
      </c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spans="1:34" x14ac:dyDescent="0.2">
      <c r="A49" s="49" t="str">
        <f t="shared" si="26"/>
        <v>Tommy Duncan</v>
      </c>
      <c r="B49" s="9"/>
      <c r="C49" s="9"/>
      <c r="D49" s="9"/>
      <c r="E49" s="9"/>
      <c r="F49" s="25" t="str">
        <f t="shared" ref="F49:W49" si="30">IF(ISNUMBER(F11),F11-F31,"")</f>
        <v/>
      </c>
      <c r="G49" s="25" t="str">
        <f t="shared" si="30"/>
        <v/>
      </c>
      <c r="H49" s="25" t="str">
        <f t="shared" si="30"/>
        <v/>
      </c>
      <c r="I49" s="25" t="str">
        <f t="shared" si="30"/>
        <v/>
      </c>
      <c r="J49" s="25" t="str">
        <f t="shared" si="30"/>
        <v/>
      </c>
      <c r="K49" s="25" t="str">
        <f t="shared" si="30"/>
        <v/>
      </c>
      <c r="L49" s="25" t="str">
        <f t="shared" si="30"/>
        <v/>
      </c>
      <c r="M49" s="25" t="str">
        <f t="shared" si="30"/>
        <v/>
      </c>
      <c r="N49" s="25" t="str">
        <f t="shared" si="30"/>
        <v/>
      </c>
      <c r="O49" s="25" t="str">
        <f t="shared" si="30"/>
        <v/>
      </c>
      <c r="P49" s="25" t="str">
        <f t="shared" si="30"/>
        <v/>
      </c>
      <c r="Q49" s="25" t="str">
        <f t="shared" si="30"/>
        <v/>
      </c>
      <c r="R49" s="25" t="str">
        <f t="shared" si="30"/>
        <v/>
      </c>
      <c r="S49" s="25" t="str">
        <f t="shared" si="30"/>
        <v/>
      </c>
      <c r="T49" s="25" t="str">
        <f t="shared" si="30"/>
        <v/>
      </c>
      <c r="U49" s="25" t="str">
        <f t="shared" si="30"/>
        <v/>
      </c>
      <c r="V49" s="25" t="str">
        <f t="shared" si="30"/>
        <v/>
      </c>
      <c r="W49" s="25" t="str">
        <f t="shared" si="30"/>
        <v/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</row>
    <row r="50" spans="1:34" x14ac:dyDescent="0.2">
      <c r="A50" s="49" t="str">
        <f t="shared" si="26"/>
        <v>Jason Kimbo</v>
      </c>
      <c r="B50" s="9"/>
      <c r="C50" s="9"/>
      <c r="D50" s="9"/>
      <c r="E50" s="9"/>
      <c r="F50" s="25" t="str">
        <f t="shared" ref="F50:W50" si="31">IF(ISNUMBER(F12),F12-F32,"")</f>
        <v/>
      </c>
      <c r="G50" s="25" t="str">
        <f t="shared" si="31"/>
        <v/>
      </c>
      <c r="H50" s="25" t="str">
        <f t="shared" si="31"/>
        <v/>
      </c>
      <c r="I50" s="25" t="str">
        <f t="shared" si="31"/>
        <v/>
      </c>
      <c r="J50" s="25" t="str">
        <f t="shared" si="31"/>
        <v/>
      </c>
      <c r="K50" s="25" t="str">
        <f t="shared" si="31"/>
        <v/>
      </c>
      <c r="L50" s="25" t="str">
        <f t="shared" si="31"/>
        <v/>
      </c>
      <c r="M50" s="25" t="str">
        <f t="shared" si="31"/>
        <v/>
      </c>
      <c r="N50" s="25" t="str">
        <f t="shared" si="31"/>
        <v/>
      </c>
      <c r="O50" s="25" t="str">
        <f t="shared" si="31"/>
        <v/>
      </c>
      <c r="P50" s="25" t="str">
        <f t="shared" si="31"/>
        <v/>
      </c>
      <c r="Q50" s="25" t="str">
        <f t="shared" si="31"/>
        <v/>
      </c>
      <c r="R50" s="25" t="str">
        <f t="shared" si="31"/>
        <v/>
      </c>
      <c r="S50" s="25" t="str">
        <f t="shared" si="31"/>
        <v/>
      </c>
      <c r="T50" s="25" t="str">
        <f t="shared" si="31"/>
        <v/>
      </c>
      <c r="U50" s="25" t="str">
        <f t="shared" si="31"/>
        <v/>
      </c>
      <c r="V50" s="25" t="str">
        <f t="shared" si="31"/>
        <v/>
      </c>
      <c r="W50" s="25" t="str">
        <f t="shared" si="31"/>
        <v/>
      </c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  <row r="51" spans="1:34" x14ac:dyDescent="0.2">
      <c r="A51" s="49" t="str">
        <f t="shared" si="26"/>
        <v>Spencer Friend</v>
      </c>
      <c r="B51" s="9"/>
      <c r="C51" s="9"/>
      <c r="D51" s="9"/>
      <c r="E51" s="9"/>
      <c r="F51" s="25" t="str">
        <f t="shared" ref="F51:W51" si="32">IF(ISNUMBER(F13),F13-F33,"")</f>
        <v/>
      </c>
      <c r="G51" s="25" t="str">
        <f t="shared" si="32"/>
        <v/>
      </c>
      <c r="H51" s="25" t="str">
        <f t="shared" si="32"/>
        <v/>
      </c>
      <c r="I51" s="25" t="str">
        <f t="shared" si="32"/>
        <v/>
      </c>
      <c r="J51" s="25" t="str">
        <f t="shared" si="32"/>
        <v/>
      </c>
      <c r="K51" s="25" t="str">
        <f t="shared" si="32"/>
        <v/>
      </c>
      <c r="L51" s="25" t="str">
        <f t="shared" si="32"/>
        <v/>
      </c>
      <c r="M51" s="25" t="str">
        <f t="shared" si="32"/>
        <v/>
      </c>
      <c r="N51" s="25" t="str">
        <f t="shared" si="32"/>
        <v/>
      </c>
      <c r="O51" s="25" t="str">
        <f t="shared" si="32"/>
        <v/>
      </c>
      <c r="P51" s="25" t="str">
        <f t="shared" si="32"/>
        <v/>
      </c>
      <c r="Q51" s="25" t="str">
        <f t="shared" si="32"/>
        <v/>
      </c>
      <c r="R51" s="25" t="str">
        <f t="shared" si="32"/>
        <v/>
      </c>
      <c r="S51" s="25" t="str">
        <f t="shared" si="32"/>
        <v/>
      </c>
      <c r="T51" s="25" t="str">
        <f t="shared" si="32"/>
        <v/>
      </c>
      <c r="U51" s="25" t="str">
        <f t="shared" si="32"/>
        <v/>
      </c>
      <c r="V51" s="25" t="str">
        <f t="shared" si="32"/>
        <v/>
      </c>
      <c r="W51" s="25" t="str">
        <f t="shared" si="32"/>
        <v/>
      </c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</row>
    <row r="52" spans="1:34" x14ac:dyDescent="0.2">
      <c r="A52" s="49" t="str">
        <f t="shared" si="26"/>
        <v>Ben Young</v>
      </c>
      <c r="B52" s="9"/>
      <c r="C52" s="9"/>
      <c r="D52" s="9"/>
      <c r="E52" s="9"/>
      <c r="F52" s="25" t="str">
        <f t="shared" ref="F52:W52" si="33">IF(ISNUMBER(F14),F14-F34,"")</f>
        <v/>
      </c>
      <c r="G52" s="25" t="str">
        <f t="shared" si="33"/>
        <v/>
      </c>
      <c r="H52" s="25" t="str">
        <f t="shared" si="33"/>
        <v/>
      </c>
      <c r="I52" s="25" t="str">
        <f t="shared" si="33"/>
        <v/>
      </c>
      <c r="J52" s="25" t="str">
        <f t="shared" si="33"/>
        <v/>
      </c>
      <c r="K52" s="25" t="str">
        <f t="shared" si="33"/>
        <v/>
      </c>
      <c r="L52" s="25" t="str">
        <f t="shared" si="33"/>
        <v/>
      </c>
      <c r="M52" s="25" t="str">
        <f t="shared" si="33"/>
        <v/>
      </c>
      <c r="N52" s="25" t="str">
        <f t="shared" si="33"/>
        <v/>
      </c>
      <c r="O52" s="25" t="str">
        <f t="shared" si="33"/>
        <v/>
      </c>
      <c r="P52" s="25" t="str">
        <f t="shared" si="33"/>
        <v/>
      </c>
      <c r="Q52" s="25" t="str">
        <f t="shared" si="33"/>
        <v/>
      </c>
      <c r="R52" s="25" t="str">
        <f t="shared" si="33"/>
        <v/>
      </c>
      <c r="S52" s="25" t="str">
        <f t="shared" si="33"/>
        <v/>
      </c>
      <c r="T52" s="25" t="str">
        <f t="shared" si="33"/>
        <v/>
      </c>
      <c r="U52" s="25" t="str">
        <f t="shared" si="33"/>
        <v/>
      </c>
      <c r="V52" s="25" t="str">
        <f t="shared" si="33"/>
        <v/>
      </c>
      <c r="W52" s="25" t="str">
        <f t="shared" si="33"/>
        <v/>
      </c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</row>
    <row r="53" spans="1:34" x14ac:dyDescent="0.2">
      <c r="A53" s="49" t="str">
        <f t="shared" si="26"/>
        <v>Justin Conrad</v>
      </c>
      <c r="B53" s="9"/>
      <c r="C53" s="9"/>
      <c r="D53" s="9"/>
      <c r="E53" s="9"/>
      <c r="F53" s="25" t="str">
        <f t="shared" ref="F53:W53" si="34">IF(ISNUMBER(F15),F15-F35,"")</f>
        <v/>
      </c>
      <c r="G53" s="25" t="str">
        <f t="shared" si="34"/>
        <v/>
      </c>
      <c r="H53" s="25" t="str">
        <f t="shared" si="34"/>
        <v/>
      </c>
      <c r="I53" s="25" t="str">
        <f t="shared" si="34"/>
        <v/>
      </c>
      <c r="J53" s="25" t="str">
        <f t="shared" si="34"/>
        <v/>
      </c>
      <c r="K53" s="25" t="str">
        <f t="shared" si="34"/>
        <v/>
      </c>
      <c r="L53" s="25" t="str">
        <f t="shared" si="34"/>
        <v/>
      </c>
      <c r="M53" s="25" t="str">
        <f t="shared" si="34"/>
        <v/>
      </c>
      <c r="N53" s="25" t="str">
        <f t="shared" si="34"/>
        <v/>
      </c>
      <c r="O53" s="25" t="str">
        <f t="shared" si="34"/>
        <v/>
      </c>
      <c r="P53" s="25" t="str">
        <f t="shared" si="34"/>
        <v/>
      </c>
      <c r="Q53" s="25" t="str">
        <f t="shared" si="34"/>
        <v/>
      </c>
      <c r="R53" s="25" t="str">
        <f t="shared" si="34"/>
        <v/>
      </c>
      <c r="S53" s="25" t="str">
        <f t="shared" si="34"/>
        <v/>
      </c>
      <c r="T53" s="25" t="str">
        <f t="shared" si="34"/>
        <v/>
      </c>
      <c r="U53" s="25" t="str">
        <f t="shared" si="34"/>
        <v/>
      </c>
      <c r="V53" s="25" t="str">
        <f t="shared" si="34"/>
        <v/>
      </c>
      <c r="W53" s="25" t="str">
        <f t="shared" si="34"/>
        <v/>
      </c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</row>
    <row r="54" spans="1:34" x14ac:dyDescent="0.2">
      <c r="A54" s="49" t="str">
        <f t="shared" si="26"/>
        <v>Shawn McMaster</v>
      </c>
      <c r="B54" s="9"/>
      <c r="C54" s="9"/>
      <c r="D54" s="9"/>
      <c r="E54" s="9"/>
      <c r="F54" s="25" t="str">
        <f t="shared" ref="F54:W54" si="35">IF(ISNUMBER(F16),F16-F36,"")</f>
        <v/>
      </c>
      <c r="G54" s="25" t="str">
        <f t="shared" si="35"/>
        <v/>
      </c>
      <c r="H54" s="25" t="str">
        <f t="shared" si="35"/>
        <v/>
      </c>
      <c r="I54" s="25" t="str">
        <f t="shared" si="35"/>
        <v/>
      </c>
      <c r="J54" s="25" t="str">
        <f t="shared" si="35"/>
        <v/>
      </c>
      <c r="K54" s="25" t="str">
        <f t="shared" si="35"/>
        <v/>
      </c>
      <c r="L54" s="25" t="str">
        <f t="shared" si="35"/>
        <v/>
      </c>
      <c r="M54" s="25" t="str">
        <f t="shared" si="35"/>
        <v/>
      </c>
      <c r="N54" s="25" t="str">
        <f t="shared" si="35"/>
        <v/>
      </c>
      <c r="O54" s="25" t="str">
        <f t="shared" si="35"/>
        <v/>
      </c>
      <c r="P54" s="25" t="str">
        <f t="shared" si="35"/>
        <v/>
      </c>
      <c r="Q54" s="25" t="str">
        <f t="shared" si="35"/>
        <v/>
      </c>
      <c r="R54" s="25" t="str">
        <f t="shared" si="35"/>
        <v/>
      </c>
      <c r="S54" s="25" t="str">
        <f t="shared" si="35"/>
        <v/>
      </c>
      <c r="T54" s="25" t="str">
        <f t="shared" si="35"/>
        <v/>
      </c>
      <c r="U54" s="25" t="str">
        <f t="shared" si="35"/>
        <v/>
      </c>
      <c r="V54" s="25" t="str">
        <f t="shared" si="35"/>
        <v/>
      </c>
      <c r="W54" s="25" t="str">
        <f t="shared" si="35"/>
        <v/>
      </c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</row>
    <row r="55" spans="1:34" x14ac:dyDescent="0.2">
      <c r="A55" s="49" t="str">
        <f t="shared" si="26"/>
        <v>Ian Dempsey</v>
      </c>
      <c r="B55" s="9"/>
      <c r="C55" s="9"/>
      <c r="D55" s="9"/>
      <c r="E55" s="9"/>
      <c r="F55" s="25" t="str">
        <f t="shared" ref="F55:W55" si="36">IF(ISNUMBER(F17),F17-F37,"")</f>
        <v/>
      </c>
      <c r="G55" s="25" t="str">
        <f t="shared" si="36"/>
        <v/>
      </c>
      <c r="H55" s="25" t="str">
        <f t="shared" si="36"/>
        <v/>
      </c>
      <c r="I55" s="25" t="str">
        <f t="shared" si="36"/>
        <v/>
      </c>
      <c r="J55" s="25" t="str">
        <f t="shared" si="36"/>
        <v/>
      </c>
      <c r="K55" s="25" t="str">
        <f t="shared" si="36"/>
        <v/>
      </c>
      <c r="L55" s="25" t="str">
        <f t="shared" si="36"/>
        <v/>
      </c>
      <c r="M55" s="25" t="str">
        <f t="shared" si="36"/>
        <v/>
      </c>
      <c r="N55" s="25" t="str">
        <f t="shared" si="36"/>
        <v/>
      </c>
      <c r="O55" s="25" t="str">
        <f t="shared" si="36"/>
        <v/>
      </c>
      <c r="P55" s="25" t="str">
        <f t="shared" si="36"/>
        <v/>
      </c>
      <c r="Q55" s="25" t="str">
        <f t="shared" si="36"/>
        <v/>
      </c>
      <c r="R55" s="25" t="str">
        <f t="shared" si="36"/>
        <v/>
      </c>
      <c r="S55" s="25" t="str">
        <f t="shared" si="36"/>
        <v/>
      </c>
      <c r="T55" s="25" t="str">
        <f t="shared" si="36"/>
        <v/>
      </c>
      <c r="U55" s="25" t="str">
        <f t="shared" si="36"/>
        <v/>
      </c>
      <c r="V55" s="25" t="str">
        <f t="shared" si="36"/>
        <v/>
      </c>
      <c r="W55" s="25" t="str">
        <f t="shared" si="36"/>
        <v/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</row>
    <row r="56" spans="1:34" x14ac:dyDescent="0.2">
      <c r="A56" s="49" t="str">
        <f t="shared" si="26"/>
        <v>Nick Roy</v>
      </c>
      <c r="B56" s="9"/>
      <c r="C56" s="9"/>
      <c r="D56" s="9"/>
      <c r="E56" s="9"/>
      <c r="F56" s="25" t="str">
        <f t="shared" ref="F56:W56" si="37">IF(ISNUMBER(F18),F18-F38,"")</f>
        <v/>
      </c>
      <c r="G56" s="25" t="str">
        <f t="shared" si="37"/>
        <v/>
      </c>
      <c r="H56" s="25" t="str">
        <f t="shared" si="37"/>
        <v/>
      </c>
      <c r="I56" s="25" t="str">
        <f t="shared" si="37"/>
        <v/>
      </c>
      <c r="J56" s="25" t="str">
        <f t="shared" si="37"/>
        <v/>
      </c>
      <c r="K56" s="25" t="str">
        <f t="shared" si="37"/>
        <v/>
      </c>
      <c r="L56" s="25" t="str">
        <f t="shared" si="37"/>
        <v/>
      </c>
      <c r="M56" s="25" t="str">
        <f t="shared" si="37"/>
        <v/>
      </c>
      <c r="N56" s="25" t="str">
        <f t="shared" si="37"/>
        <v/>
      </c>
      <c r="O56" s="25" t="str">
        <f t="shared" si="37"/>
        <v/>
      </c>
      <c r="P56" s="25" t="str">
        <f t="shared" si="37"/>
        <v/>
      </c>
      <c r="Q56" s="25" t="str">
        <f t="shared" si="37"/>
        <v/>
      </c>
      <c r="R56" s="25" t="str">
        <f t="shared" si="37"/>
        <v/>
      </c>
      <c r="S56" s="25" t="str">
        <f t="shared" si="37"/>
        <v/>
      </c>
      <c r="T56" s="25" t="str">
        <f t="shared" si="37"/>
        <v/>
      </c>
      <c r="U56" s="25" t="str">
        <f t="shared" si="37"/>
        <v/>
      </c>
      <c r="V56" s="25" t="str">
        <f t="shared" si="37"/>
        <v/>
      </c>
      <c r="W56" s="25" t="str">
        <f t="shared" si="37"/>
        <v/>
      </c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 spans="1:34" x14ac:dyDescent="0.2">
      <c r="A57" s="49" t="str">
        <f t="shared" si="26"/>
        <v>Henry Holst</v>
      </c>
      <c r="B57" s="9"/>
      <c r="C57" s="9"/>
      <c r="D57" s="9"/>
      <c r="E57" s="9"/>
      <c r="F57" s="25" t="str">
        <f t="shared" ref="F57:W57" si="38">IF(ISNUMBER(F19),F19-F39,"")</f>
        <v/>
      </c>
      <c r="G57" s="25" t="str">
        <f t="shared" si="38"/>
        <v/>
      </c>
      <c r="H57" s="25" t="str">
        <f t="shared" si="38"/>
        <v/>
      </c>
      <c r="I57" s="25" t="str">
        <f t="shared" si="38"/>
        <v/>
      </c>
      <c r="J57" s="25" t="str">
        <f t="shared" si="38"/>
        <v/>
      </c>
      <c r="K57" s="25" t="str">
        <f t="shared" si="38"/>
        <v/>
      </c>
      <c r="L57" s="25" t="str">
        <f t="shared" si="38"/>
        <v/>
      </c>
      <c r="M57" s="25" t="str">
        <f t="shared" si="38"/>
        <v/>
      </c>
      <c r="N57" s="25" t="str">
        <f t="shared" si="38"/>
        <v/>
      </c>
      <c r="O57" s="25" t="str">
        <f t="shared" si="38"/>
        <v/>
      </c>
      <c r="P57" s="25" t="str">
        <f t="shared" si="38"/>
        <v/>
      </c>
      <c r="Q57" s="25" t="str">
        <f t="shared" si="38"/>
        <v/>
      </c>
      <c r="R57" s="25" t="str">
        <f t="shared" si="38"/>
        <v/>
      </c>
      <c r="S57" s="25" t="str">
        <f t="shared" si="38"/>
        <v/>
      </c>
      <c r="T57" s="25" t="str">
        <f t="shared" si="38"/>
        <v/>
      </c>
      <c r="U57" s="25" t="str">
        <f t="shared" si="38"/>
        <v/>
      </c>
      <c r="V57" s="25" t="str">
        <f t="shared" si="38"/>
        <v/>
      </c>
      <c r="W57" s="25" t="str">
        <f t="shared" si="38"/>
        <v/>
      </c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 spans="1:34" x14ac:dyDescent="0.2">
      <c r="A58" s="49" t="str">
        <f t="shared" si="26"/>
        <v>Chad Stone</v>
      </c>
      <c r="B58" s="9"/>
      <c r="C58" s="9"/>
      <c r="D58" s="9"/>
      <c r="E58" s="9"/>
      <c r="F58" s="25" t="str">
        <f t="shared" ref="F58:W58" si="39">IF(ISNUMBER(F20),F20-F40,"")</f>
        <v/>
      </c>
      <c r="G58" s="25" t="str">
        <f t="shared" si="39"/>
        <v/>
      </c>
      <c r="H58" s="25" t="str">
        <f t="shared" si="39"/>
        <v/>
      </c>
      <c r="I58" s="25" t="str">
        <f t="shared" si="39"/>
        <v/>
      </c>
      <c r="J58" s="25" t="str">
        <f t="shared" si="39"/>
        <v/>
      </c>
      <c r="K58" s="25" t="str">
        <f t="shared" si="39"/>
        <v/>
      </c>
      <c r="L58" s="25" t="str">
        <f t="shared" si="39"/>
        <v/>
      </c>
      <c r="M58" s="25" t="str">
        <f t="shared" si="39"/>
        <v/>
      </c>
      <c r="N58" s="25" t="str">
        <f t="shared" si="39"/>
        <v/>
      </c>
      <c r="O58" s="25" t="str">
        <f t="shared" si="39"/>
        <v/>
      </c>
      <c r="P58" s="25" t="str">
        <f t="shared" si="39"/>
        <v/>
      </c>
      <c r="Q58" s="25" t="str">
        <f t="shared" si="39"/>
        <v/>
      </c>
      <c r="R58" s="25" t="str">
        <f t="shared" si="39"/>
        <v/>
      </c>
      <c r="S58" s="25" t="str">
        <f t="shared" si="39"/>
        <v/>
      </c>
      <c r="T58" s="25" t="str">
        <f t="shared" si="39"/>
        <v/>
      </c>
      <c r="U58" s="25" t="str">
        <f t="shared" si="39"/>
        <v/>
      </c>
      <c r="V58" s="25" t="str">
        <f t="shared" si="39"/>
        <v/>
      </c>
      <c r="W58" s="25" t="str">
        <f t="shared" si="39"/>
        <v/>
      </c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</row>
    <row r="59" spans="1:34" x14ac:dyDescent="0.2">
      <c r="A59" s="49" t="str">
        <f t="shared" si="26"/>
        <v>Tom Devine</v>
      </c>
      <c r="B59" s="9"/>
      <c r="C59" s="9"/>
      <c r="D59" s="9"/>
      <c r="E59" s="9"/>
      <c r="F59" s="25" t="str">
        <f t="shared" ref="F59:W59" si="40">IF(ISNUMBER(F21),F21-F41,"")</f>
        <v/>
      </c>
      <c r="G59" s="25" t="str">
        <f t="shared" si="40"/>
        <v/>
      </c>
      <c r="H59" s="25" t="str">
        <f t="shared" si="40"/>
        <v/>
      </c>
      <c r="I59" s="25" t="str">
        <f t="shared" si="40"/>
        <v/>
      </c>
      <c r="J59" s="25" t="str">
        <f t="shared" si="40"/>
        <v/>
      </c>
      <c r="K59" s="25" t="str">
        <f t="shared" si="40"/>
        <v/>
      </c>
      <c r="L59" s="25" t="str">
        <f t="shared" si="40"/>
        <v/>
      </c>
      <c r="M59" s="25" t="str">
        <f t="shared" si="40"/>
        <v/>
      </c>
      <c r="N59" s="25" t="str">
        <f t="shared" si="40"/>
        <v/>
      </c>
      <c r="O59" s="25" t="str">
        <f t="shared" si="40"/>
        <v/>
      </c>
      <c r="P59" s="25" t="str">
        <f t="shared" si="40"/>
        <v/>
      </c>
      <c r="Q59" s="25" t="str">
        <f t="shared" si="40"/>
        <v/>
      </c>
      <c r="R59" s="25" t="str">
        <f t="shared" si="40"/>
        <v/>
      </c>
      <c r="S59" s="25" t="str">
        <f t="shared" si="40"/>
        <v/>
      </c>
      <c r="T59" s="25" t="str">
        <f t="shared" si="40"/>
        <v/>
      </c>
      <c r="U59" s="25" t="str">
        <f t="shared" si="40"/>
        <v/>
      </c>
      <c r="V59" s="25" t="str">
        <f t="shared" si="40"/>
        <v/>
      </c>
      <c r="W59" s="25" t="str">
        <f t="shared" si="40"/>
        <v/>
      </c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 spans="1:34" x14ac:dyDescent="0.2">
      <c r="A60" s="49" t="str">
        <f t="shared" si="26"/>
        <v>Mike Warenda</v>
      </c>
      <c r="B60" s="9"/>
      <c r="C60" s="9"/>
      <c r="D60" s="9"/>
      <c r="E60" s="9"/>
      <c r="F60" s="25" t="str">
        <f t="shared" ref="F60:W60" si="41">IF(ISNUMBER(F22),F22-F42,"")</f>
        <v/>
      </c>
      <c r="G60" s="25" t="str">
        <f t="shared" si="41"/>
        <v/>
      </c>
      <c r="H60" s="25" t="str">
        <f t="shared" si="41"/>
        <v/>
      </c>
      <c r="I60" s="25" t="str">
        <f t="shared" si="41"/>
        <v/>
      </c>
      <c r="J60" s="25" t="str">
        <f t="shared" si="41"/>
        <v/>
      </c>
      <c r="K60" s="25" t="str">
        <f t="shared" si="41"/>
        <v/>
      </c>
      <c r="L60" s="25" t="str">
        <f t="shared" si="41"/>
        <v/>
      </c>
      <c r="M60" s="25" t="str">
        <f t="shared" si="41"/>
        <v/>
      </c>
      <c r="N60" s="25" t="str">
        <f t="shared" si="41"/>
        <v/>
      </c>
      <c r="O60" s="25" t="str">
        <f t="shared" si="41"/>
        <v/>
      </c>
      <c r="P60" s="25" t="str">
        <f t="shared" si="41"/>
        <v/>
      </c>
      <c r="Q60" s="25" t="str">
        <f t="shared" si="41"/>
        <v/>
      </c>
      <c r="R60" s="25" t="str">
        <f t="shared" si="41"/>
        <v/>
      </c>
      <c r="S60" s="25" t="str">
        <f t="shared" si="41"/>
        <v/>
      </c>
      <c r="T60" s="25" t="str">
        <f t="shared" si="41"/>
        <v/>
      </c>
      <c r="U60" s="25" t="str">
        <f t="shared" si="41"/>
        <v/>
      </c>
      <c r="V60" s="25" t="str">
        <f t="shared" si="41"/>
        <v/>
      </c>
      <c r="W60" s="25" t="str">
        <f t="shared" si="41"/>
        <v/>
      </c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 spans="1:34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  <row r="62" spans="1:34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</row>
    <row r="63" spans="1:34" x14ac:dyDescent="0.2">
      <c r="A63" s="48" t="s">
        <v>114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</row>
    <row r="64" spans="1:34" x14ac:dyDescent="0.2">
      <c r="A64" s="49" t="str">
        <f t="shared" ref="A64:A78" si="42">A8</f>
        <v>Frank Barta</v>
      </c>
      <c r="B64" s="9"/>
      <c r="C64" s="9"/>
      <c r="D64" s="9"/>
      <c r="E64" s="9"/>
      <c r="F64" s="25" t="str">
        <f t="shared" ref="F64:W64" si="43">IF(ISNUMBER(F8),IF((F8-F$5)&lt;=-2,8,IF((F8-F$5)=-1,4,IF((F8-F$5)=0,2,IF((F8-F$5)=1,1,IF((F8-F$5)=2,0,-1))))),"")</f>
        <v/>
      </c>
      <c r="G64" s="25" t="str">
        <f t="shared" si="43"/>
        <v/>
      </c>
      <c r="H64" s="25" t="str">
        <f t="shared" si="43"/>
        <v/>
      </c>
      <c r="I64" s="25" t="str">
        <f t="shared" si="43"/>
        <v/>
      </c>
      <c r="J64" s="25" t="str">
        <f t="shared" si="43"/>
        <v/>
      </c>
      <c r="K64" s="25" t="str">
        <f t="shared" si="43"/>
        <v/>
      </c>
      <c r="L64" s="25" t="str">
        <f t="shared" si="43"/>
        <v/>
      </c>
      <c r="M64" s="25" t="str">
        <f t="shared" si="43"/>
        <v/>
      </c>
      <c r="N64" s="25" t="str">
        <f t="shared" si="43"/>
        <v/>
      </c>
      <c r="O64" s="25" t="str">
        <f t="shared" si="43"/>
        <v/>
      </c>
      <c r="P64" s="25" t="str">
        <f t="shared" si="43"/>
        <v/>
      </c>
      <c r="Q64" s="25" t="str">
        <f t="shared" si="43"/>
        <v/>
      </c>
      <c r="R64" s="25" t="str">
        <f t="shared" si="43"/>
        <v/>
      </c>
      <c r="S64" s="25" t="str">
        <f t="shared" si="43"/>
        <v/>
      </c>
      <c r="T64" s="25" t="str">
        <f t="shared" si="43"/>
        <v/>
      </c>
      <c r="U64" s="25" t="str">
        <f t="shared" si="43"/>
        <v/>
      </c>
      <c r="V64" s="25" t="str">
        <f t="shared" si="43"/>
        <v/>
      </c>
      <c r="W64" s="25" t="str">
        <f t="shared" si="43"/>
        <v/>
      </c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</row>
    <row r="65" spans="1:34" x14ac:dyDescent="0.2">
      <c r="A65" s="49" t="str">
        <f t="shared" si="42"/>
        <v>Marc Wydom</v>
      </c>
      <c r="B65" s="9"/>
      <c r="C65" s="9"/>
      <c r="D65" s="9"/>
      <c r="E65" s="9"/>
      <c r="F65" s="25" t="str">
        <f t="shared" ref="F65:W65" si="44">IF(ISNUMBER(F9),IF((F9-F$5)&lt;=-2,8,IF((F9-F$5)=-1,4,IF((F9-F$5)=0,2,IF((F9-F$5)=1,1,IF((F9-F$5)=2,0,-1))))),"")</f>
        <v/>
      </c>
      <c r="G65" s="25" t="str">
        <f t="shared" si="44"/>
        <v/>
      </c>
      <c r="H65" s="25" t="str">
        <f t="shared" si="44"/>
        <v/>
      </c>
      <c r="I65" s="25" t="str">
        <f t="shared" si="44"/>
        <v/>
      </c>
      <c r="J65" s="25" t="str">
        <f t="shared" si="44"/>
        <v/>
      </c>
      <c r="K65" s="25" t="str">
        <f t="shared" si="44"/>
        <v/>
      </c>
      <c r="L65" s="25" t="str">
        <f t="shared" si="44"/>
        <v/>
      </c>
      <c r="M65" s="25" t="str">
        <f t="shared" si="44"/>
        <v/>
      </c>
      <c r="N65" s="25" t="str">
        <f t="shared" si="44"/>
        <v/>
      </c>
      <c r="O65" s="25" t="str">
        <f t="shared" si="44"/>
        <v/>
      </c>
      <c r="P65" s="25" t="str">
        <f t="shared" si="44"/>
        <v/>
      </c>
      <c r="Q65" s="25" t="str">
        <f t="shared" si="44"/>
        <v/>
      </c>
      <c r="R65" s="25" t="str">
        <f t="shared" si="44"/>
        <v/>
      </c>
      <c r="S65" s="25" t="str">
        <f t="shared" si="44"/>
        <v/>
      </c>
      <c r="T65" s="25" t="str">
        <f t="shared" si="44"/>
        <v/>
      </c>
      <c r="U65" s="25" t="str">
        <f t="shared" si="44"/>
        <v/>
      </c>
      <c r="V65" s="25" t="str">
        <f t="shared" si="44"/>
        <v/>
      </c>
      <c r="W65" s="25" t="str">
        <f t="shared" si="44"/>
        <v/>
      </c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 spans="1:34" x14ac:dyDescent="0.2">
      <c r="A66" s="49" t="str">
        <f t="shared" si="42"/>
        <v>Donnie Muller</v>
      </c>
      <c r="B66" s="9"/>
      <c r="C66" s="9"/>
      <c r="D66" s="9"/>
      <c r="E66" s="9"/>
      <c r="F66" s="25" t="str">
        <f t="shared" ref="F66:W66" si="45">IF(ISNUMBER(F10),IF((F10-F$5)&lt;=-2,8,IF((F10-F$5)=-1,4,IF((F10-F$5)=0,2,IF((F10-F$5)=1,1,IF((F10-F$5)=2,0,-1))))),"")</f>
        <v/>
      </c>
      <c r="G66" s="25" t="str">
        <f t="shared" si="45"/>
        <v/>
      </c>
      <c r="H66" s="25" t="str">
        <f t="shared" si="45"/>
        <v/>
      </c>
      <c r="I66" s="25" t="str">
        <f t="shared" si="45"/>
        <v/>
      </c>
      <c r="J66" s="25" t="str">
        <f t="shared" si="45"/>
        <v/>
      </c>
      <c r="K66" s="25" t="str">
        <f t="shared" si="45"/>
        <v/>
      </c>
      <c r="L66" s="25" t="str">
        <f t="shared" si="45"/>
        <v/>
      </c>
      <c r="M66" s="25" t="str">
        <f t="shared" si="45"/>
        <v/>
      </c>
      <c r="N66" s="25" t="str">
        <f t="shared" si="45"/>
        <v/>
      </c>
      <c r="O66" s="25" t="str">
        <f t="shared" si="45"/>
        <v/>
      </c>
      <c r="P66" s="25" t="str">
        <f t="shared" si="45"/>
        <v/>
      </c>
      <c r="Q66" s="25" t="str">
        <f t="shared" si="45"/>
        <v/>
      </c>
      <c r="R66" s="25" t="str">
        <f t="shared" si="45"/>
        <v/>
      </c>
      <c r="S66" s="25" t="str">
        <f t="shared" si="45"/>
        <v/>
      </c>
      <c r="T66" s="25" t="str">
        <f t="shared" si="45"/>
        <v/>
      </c>
      <c r="U66" s="25" t="str">
        <f t="shared" si="45"/>
        <v/>
      </c>
      <c r="V66" s="25" t="str">
        <f t="shared" si="45"/>
        <v/>
      </c>
      <c r="W66" s="25" t="str">
        <f t="shared" si="45"/>
        <v/>
      </c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 spans="1:34" x14ac:dyDescent="0.2">
      <c r="A67" s="49" t="str">
        <f t="shared" si="42"/>
        <v>Tommy Duncan</v>
      </c>
      <c r="B67" s="9"/>
      <c r="C67" s="9"/>
      <c r="D67" s="9"/>
      <c r="E67" s="9"/>
      <c r="F67" s="25" t="str">
        <f t="shared" ref="F67:W67" si="46">IF(ISNUMBER(F11),IF((F11-F$5)&lt;=-2,8,IF((F11-F$5)=-1,4,IF((F11-F$5)=0,2,IF((F11-F$5)=1,1,IF((F11-F$5)=2,0,-1))))),"")</f>
        <v/>
      </c>
      <c r="G67" s="25" t="str">
        <f t="shared" si="46"/>
        <v/>
      </c>
      <c r="H67" s="25" t="str">
        <f t="shared" si="46"/>
        <v/>
      </c>
      <c r="I67" s="25" t="str">
        <f t="shared" si="46"/>
        <v/>
      </c>
      <c r="J67" s="25" t="str">
        <f t="shared" si="46"/>
        <v/>
      </c>
      <c r="K67" s="25" t="str">
        <f t="shared" si="46"/>
        <v/>
      </c>
      <c r="L67" s="25" t="str">
        <f t="shared" si="46"/>
        <v/>
      </c>
      <c r="M67" s="25" t="str">
        <f t="shared" si="46"/>
        <v/>
      </c>
      <c r="N67" s="25" t="str">
        <f t="shared" si="46"/>
        <v/>
      </c>
      <c r="O67" s="25" t="str">
        <f t="shared" si="46"/>
        <v/>
      </c>
      <c r="P67" s="25" t="str">
        <f t="shared" si="46"/>
        <v/>
      </c>
      <c r="Q67" s="25" t="str">
        <f t="shared" si="46"/>
        <v/>
      </c>
      <c r="R67" s="25" t="str">
        <f t="shared" si="46"/>
        <v/>
      </c>
      <c r="S67" s="25" t="str">
        <f t="shared" si="46"/>
        <v/>
      </c>
      <c r="T67" s="25" t="str">
        <f t="shared" si="46"/>
        <v/>
      </c>
      <c r="U67" s="25" t="str">
        <f t="shared" si="46"/>
        <v/>
      </c>
      <c r="V67" s="25" t="str">
        <f t="shared" si="46"/>
        <v/>
      </c>
      <c r="W67" s="25" t="str">
        <f t="shared" si="46"/>
        <v/>
      </c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 spans="1:34" x14ac:dyDescent="0.2">
      <c r="A68" s="49" t="str">
        <f t="shared" si="42"/>
        <v>Jason Kimbo</v>
      </c>
      <c r="B68" s="9"/>
      <c r="C68" s="9"/>
      <c r="D68" s="9"/>
      <c r="E68" s="9"/>
      <c r="F68" s="25" t="str">
        <f t="shared" ref="F68:W68" si="47">IF(ISNUMBER(F12),IF((F12-F$5)&lt;=-2,8,IF((F12-F$5)=-1,4,IF((F12-F$5)=0,2,IF((F12-F$5)=1,1,IF((F12-F$5)=2,0,-1))))),"")</f>
        <v/>
      </c>
      <c r="G68" s="25" t="str">
        <f t="shared" si="47"/>
        <v/>
      </c>
      <c r="H68" s="25" t="str">
        <f t="shared" si="47"/>
        <v/>
      </c>
      <c r="I68" s="25" t="str">
        <f t="shared" si="47"/>
        <v/>
      </c>
      <c r="J68" s="25" t="str">
        <f t="shared" si="47"/>
        <v/>
      </c>
      <c r="K68" s="25" t="str">
        <f t="shared" si="47"/>
        <v/>
      </c>
      <c r="L68" s="25" t="str">
        <f t="shared" si="47"/>
        <v/>
      </c>
      <c r="M68" s="25" t="str">
        <f t="shared" si="47"/>
        <v/>
      </c>
      <c r="N68" s="25" t="str">
        <f t="shared" si="47"/>
        <v/>
      </c>
      <c r="O68" s="25" t="str">
        <f t="shared" si="47"/>
        <v/>
      </c>
      <c r="P68" s="25" t="str">
        <f t="shared" si="47"/>
        <v/>
      </c>
      <c r="Q68" s="25" t="str">
        <f t="shared" si="47"/>
        <v/>
      </c>
      <c r="R68" s="25" t="str">
        <f t="shared" si="47"/>
        <v/>
      </c>
      <c r="S68" s="25" t="str">
        <f t="shared" si="47"/>
        <v/>
      </c>
      <c r="T68" s="25" t="str">
        <f t="shared" si="47"/>
        <v/>
      </c>
      <c r="U68" s="25" t="str">
        <f t="shared" si="47"/>
        <v/>
      </c>
      <c r="V68" s="25" t="str">
        <f t="shared" si="47"/>
        <v/>
      </c>
      <c r="W68" s="25" t="str">
        <f t="shared" si="47"/>
        <v/>
      </c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 spans="1:34" x14ac:dyDescent="0.2">
      <c r="A69" s="49" t="str">
        <f t="shared" si="42"/>
        <v>Spencer Friend</v>
      </c>
      <c r="B69" s="9"/>
      <c r="C69" s="9"/>
      <c r="D69" s="9"/>
      <c r="E69" s="9"/>
      <c r="F69" s="25" t="str">
        <f t="shared" ref="F69:W69" si="48">IF(ISNUMBER(F13),IF((F13-F$5)&lt;=-2,8,IF((F13-F$5)=-1,4,IF((F13-F$5)=0,2,IF((F13-F$5)=1,1,IF((F13-F$5)=2,0,-1))))),"")</f>
        <v/>
      </c>
      <c r="G69" s="25" t="str">
        <f t="shared" si="48"/>
        <v/>
      </c>
      <c r="H69" s="25" t="str">
        <f t="shared" si="48"/>
        <v/>
      </c>
      <c r="I69" s="25" t="str">
        <f t="shared" si="48"/>
        <v/>
      </c>
      <c r="J69" s="25" t="str">
        <f t="shared" si="48"/>
        <v/>
      </c>
      <c r="K69" s="25" t="str">
        <f t="shared" si="48"/>
        <v/>
      </c>
      <c r="L69" s="25" t="str">
        <f t="shared" si="48"/>
        <v/>
      </c>
      <c r="M69" s="25" t="str">
        <f t="shared" si="48"/>
        <v/>
      </c>
      <c r="N69" s="25" t="str">
        <f t="shared" si="48"/>
        <v/>
      </c>
      <c r="O69" s="25" t="str">
        <f t="shared" si="48"/>
        <v/>
      </c>
      <c r="P69" s="25" t="str">
        <f t="shared" si="48"/>
        <v/>
      </c>
      <c r="Q69" s="25" t="str">
        <f t="shared" si="48"/>
        <v/>
      </c>
      <c r="R69" s="25" t="str">
        <f t="shared" si="48"/>
        <v/>
      </c>
      <c r="S69" s="25" t="str">
        <f t="shared" si="48"/>
        <v/>
      </c>
      <c r="T69" s="25" t="str">
        <f t="shared" si="48"/>
        <v/>
      </c>
      <c r="U69" s="25" t="str">
        <f t="shared" si="48"/>
        <v/>
      </c>
      <c r="V69" s="25" t="str">
        <f t="shared" si="48"/>
        <v/>
      </c>
      <c r="W69" s="25" t="str">
        <f t="shared" si="48"/>
        <v/>
      </c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 spans="1:34" x14ac:dyDescent="0.2">
      <c r="A70" s="49" t="str">
        <f t="shared" si="42"/>
        <v>Ben Young</v>
      </c>
      <c r="B70" s="9"/>
      <c r="C70" s="9"/>
      <c r="D70" s="9"/>
      <c r="E70" s="9"/>
      <c r="F70" s="25" t="str">
        <f t="shared" ref="F70:W70" si="49">IF(ISNUMBER(F14),IF((F14-F$5)&lt;=-2,8,IF((F14-F$5)=-1,4,IF((F14-F$5)=0,2,IF((F14-F$5)=1,1,IF((F14-F$5)=2,0,-1))))),"")</f>
        <v/>
      </c>
      <c r="G70" s="25" t="str">
        <f t="shared" si="49"/>
        <v/>
      </c>
      <c r="H70" s="25" t="str">
        <f t="shared" si="49"/>
        <v/>
      </c>
      <c r="I70" s="25" t="str">
        <f t="shared" si="49"/>
        <v/>
      </c>
      <c r="J70" s="25" t="str">
        <f t="shared" si="49"/>
        <v/>
      </c>
      <c r="K70" s="25" t="str">
        <f t="shared" si="49"/>
        <v/>
      </c>
      <c r="L70" s="25" t="str">
        <f t="shared" si="49"/>
        <v/>
      </c>
      <c r="M70" s="25" t="str">
        <f t="shared" si="49"/>
        <v/>
      </c>
      <c r="N70" s="25" t="str">
        <f t="shared" si="49"/>
        <v/>
      </c>
      <c r="O70" s="25" t="str">
        <f t="shared" si="49"/>
        <v/>
      </c>
      <c r="P70" s="25" t="str">
        <f t="shared" si="49"/>
        <v/>
      </c>
      <c r="Q70" s="25" t="str">
        <f t="shared" si="49"/>
        <v/>
      </c>
      <c r="R70" s="25" t="str">
        <f t="shared" si="49"/>
        <v/>
      </c>
      <c r="S70" s="25" t="str">
        <f t="shared" si="49"/>
        <v/>
      </c>
      <c r="T70" s="25" t="str">
        <f t="shared" si="49"/>
        <v/>
      </c>
      <c r="U70" s="25" t="str">
        <f t="shared" si="49"/>
        <v/>
      </c>
      <c r="V70" s="25" t="str">
        <f t="shared" si="49"/>
        <v/>
      </c>
      <c r="W70" s="25" t="str">
        <f t="shared" si="49"/>
        <v/>
      </c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 spans="1:34" x14ac:dyDescent="0.2">
      <c r="A71" s="49" t="str">
        <f t="shared" si="42"/>
        <v>Justin Conrad</v>
      </c>
      <c r="B71" s="9"/>
      <c r="C71" s="9"/>
      <c r="D71" s="9"/>
      <c r="E71" s="9"/>
      <c r="F71" s="25" t="str">
        <f t="shared" ref="F71:W71" si="50">IF(ISNUMBER(F15),IF((F15-F$5)&lt;=-2,8,IF((F15-F$5)=-1,4,IF((F15-F$5)=0,2,IF((F15-F$5)=1,1,IF((F15-F$5)=2,0,-1))))),"")</f>
        <v/>
      </c>
      <c r="G71" s="25" t="str">
        <f t="shared" si="50"/>
        <v/>
      </c>
      <c r="H71" s="25" t="str">
        <f t="shared" si="50"/>
        <v/>
      </c>
      <c r="I71" s="25" t="str">
        <f t="shared" si="50"/>
        <v/>
      </c>
      <c r="J71" s="25" t="str">
        <f t="shared" si="50"/>
        <v/>
      </c>
      <c r="K71" s="25" t="str">
        <f t="shared" si="50"/>
        <v/>
      </c>
      <c r="L71" s="25" t="str">
        <f t="shared" si="50"/>
        <v/>
      </c>
      <c r="M71" s="25" t="str">
        <f t="shared" si="50"/>
        <v/>
      </c>
      <c r="N71" s="25" t="str">
        <f t="shared" si="50"/>
        <v/>
      </c>
      <c r="O71" s="25" t="str">
        <f t="shared" si="50"/>
        <v/>
      </c>
      <c r="P71" s="25" t="str">
        <f t="shared" si="50"/>
        <v/>
      </c>
      <c r="Q71" s="25" t="str">
        <f t="shared" si="50"/>
        <v/>
      </c>
      <c r="R71" s="25" t="str">
        <f t="shared" si="50"/>
        <v/>
      </c>
      <c r="S71" s="25" t="str">
        <f t="shared" si="50"/>
        <v/>
      </c>
      <c r="T71" s="25" t="str">
        <f t="shared" si="50"/>
        <v/>
      </c>
      <c r="U71" s="25" t="str">
        <f t="shared" si="50"/>
        <v/>
      </c>
      <c r="V71" s="25" t="str">
        <f t="shared" si="50"/>
        <v/>
      </c>
      <c r="W71" s="25" t="str">
        <f t="shared" si="50"/>
        <v/>
      </c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 spans="1:34" x14ac:dyDescent="0.2">
      <c r="A72" s="49" t="str">
        <f t="shared" si="42"/>
        <v>Shawn McMaster</v>
      </c>
      <c r="B72" s="9"/>
      <c r="C72" s="9"/>
      <c r="D72" s="9"/>
      <c r="E72" s="9"/>
      <c r="F72" s="25" t="str">
        <f t="shared" ref="F72:W72" si="51">IF(ISNUMBER(F16),IF((F16-F$5)&lt;=-2,8,IF((F16-F$5)=-1,4,IF((F16-F$5)=0,2,IF((F16-F$5)=1,1,IF((F16-F$5)=2,0,-1))))),"")</f>
        <v/>
      </c>
      <c r="G72" s="25" t="str">
        <f t="shared" si="51"/>
        <v/>
      </c>
      <c r="H72" s="25" t="str">
        <f t="shared" si="51"/>
        <v/>
      </c>
      <c r="I72" s="25" t="str">
        <f t="shared" si="51"/>
        <v/>
      </c>
      <c r="J72" s="25" t="str">
        <f t="shared" si="51"/>
        <v/>
      </c>
      <c r="K72" s="25" t="str">
        <f t="shared" si="51"/>
        <v/>
      </c>
      <c r="L72" s="25" t="str">
        <f t="shared" si="51"/>
        <v/>
      </c>
      <c r="M72" s="25" t="str">
        <f t="shared" si="51"/>
        <v/>
      </c>
      <c r="N72" s="25" t="str">
        <f t="shared" si="51"/>
        <v/>
      </c>
      <c r="O72" s="25" t="str">
        <f t="shared" si="51"/>
        <v/>
      </c>
      <c r="P72" s="25" t="str">
        <f t="shared" si="51"/>
        <v/>
      </c>
      <c r="Q72" s="25" t="str">
        <f t="shared" si="51"/>
        <v/>
      </c>
      <c r="R72" s="25" t="str">
        <f t="shared" si="51"/>
        <v/>
      </c>
      <c r="S72" s="25" t="str">
        <f t="shared" si="51"/>
        <v/>
      </c>
      <c r="T72" s="25" t="str">
        <f t="shared" si="51"/>
        <v/>
      </c>
      <c r="U72" s="25" t="str">
        <f t="shared" si="51"/>
        <v/>
      </c>
      <c r="V72" s="25" t="str">
        <f t="shared" si="51"/>
        <v/>
      </c>
      <c r="W72" s="25" t="str">
        <f t="shared" si="51"/>
        <v/>
      </c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 spans="1:34" x14ac:dyDescent="0.2">
      <c r="A73" s="49" t="str">
        <f t="shared" si="42"/>
        <v>Ian Dempsey</v>
      </c>
      <c r="B73" s="9"/>
      <c r="C73" s="9"/>
      <c r="D73" s="9"/>
      <c r="E73" s="9"/>
      <c r="F73" s="25" t="str">
        <f t="shared" ref="F73:W73" si="52">IF(ISNUMBER(F17),IF((F17-F$5)&lt;=-2,8,IF((F17-F$5)=-1,4,IF((F17-F$5)=0,2,IF((F17-F$5)=1,1,IF((F17-F$5)=2,0,-1))))),"")</f>
        <v/>
      </c>
      <c r="G73" s="25" t="str">
        <f t="shared" si="52"/>
        <v/>
      </c>
      <c r="H73" s="25" t="str">
        <f t="shared" si="52"/>
        <v/>
      </c>
      <c r="I73" s="25" t="str">
        <f t="shared" si="52"/>
        <v/>
      </c>
      <c r="J73" s="25" t="str">
        <f t="shared" si="52"/>
        <v/>
      </c>
      <c r="K73" s="25" t="str">
        <f t="shared" si="52"/>
        <v/>
      </c>
      <c r="L73" s="25" t="str">
        <f t="shared" si="52"/>
        <v/>
      </c>
      <c r="M73" s="25" t="str">
        <f t="shared" si="52"/>
        <v/>
      </c>
      <c r="N73" s="25" t="str">
        <f t="shared" si="52"/>
        <v/>
      </c>
      <c r="O73" s="25" t="str">
        <f t="shared" si="52"/>
        <v/>
      </c>
      <c r="P73" s="25" t="str">
        <f t="shared" si="52"/>
        <v/>
      </c>
      <c r="Q73" s="25" t="str">
        <f t="shared" si="52"/>
        <v/>
      </c>
      <c r="R73" s="25" t="str">
        <f t="shared" si="52"/>
        <v/>
      </c>
      <c r="S73" s="25" t="str">
        <f t="shared" si="52"/>
        <v/>
      </c>
      <c r="T73" s="25" t="str">
        <f t="shared" si="52"/>
        <v/>
      </c>
      <c r="U73" s="25" t="str">
        <f t="shared" si="52"/>
        <v/>
      </c>
      <c r="V73" s="25" t="str">
        <f t="shared" si="52"/>
        <v/>
      </c>
      <c r="W73" s="25" t="str">
        <f t="shared" si="52"/>
        <v/>
      </c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1:34" x14ac:dyDescent="0.2">
      <c r="A74" s="49" t="str">
        <f t="shared" si="42"/>
        <v>Nick Roy</v>
      </c>
      <c r="B74" s="9"/>
      <c r="C74" s="9"/>
      <c r="D74" s="9"/>
      <c r="E74" s="9"/>
      <c r="F74" s="25" t="str">
        <f t="shared" ref="F74:W74" si="53">IF(ISNUMBER(F18),IF((F18-F$5)&lt;=-2,8,IF((F18-F$5)=-1,4,IF((F18-F$5)=0,2,IF((F18-F$5)=1,1,IF((F18-F$5)=2,0,-1))))),"")</f>
        <v/>
      </c>
      <c r="G74" s="25" t="str">
        <f t="shared" si="53"/>
        <v/>
      </c>
      <c r="H74" s="25" t="str">
        <f t="shared" si="53"/>
        <v/>
      </c>
      <c r="I74" s="25" t="str">
        <f t="shared" si="53"/>
        <v/>
      </c>
      <c r="J74" s="25" t="str">
        <f t="shared" si="53"/>
        <v/>
      </c>
      <c r="K74" s="25" t="str">
        <f t="shared" si="53"/>
        <v/>
      </c>
      <c r="L74" s="25" t="str">
        <f t="shared" si="53"/>
        <v/>
      </c>
      <c r="M74" s="25" t="str">
        <f t="shared" si="53"/>
        <v/>
      </c>
      <c r="N74" s="25" t="str">
        <f t="shared" si="53"/>
        <v/>
      </c>
      <c r="O74" s="25" t="str">
        <f t="shared" si="53"/>
        <v/>
      </c>
      <c r="P74" s="25" t="str">
        <f t="shared" si="53"/>
        <v/>
      </c>
      <c r="Q74" s="25" t="str">
        <f t="shared" si="53"/>
        <v/>
      </c>
      <c r="R74" s="25" t="str">
        <f t="shared" si="53"/>
        <v/>
      </c>
      <c r="S74" s="25" t="str">
        <f t="shared" si="53"/>
        <v/>
      </c>
      <c r="T74" s="25" t="str">
        <f t="shared" si="53"/>
        <v/>
      </c>
      <c r="U74" s="25" t="str">
        <f t="shared" si="53"/>
        <v/>
      </c>
      <c r="V74" s="25" t="str">
        <f t="shared" si="53"/>
        <v/>
      </c>
      <c r="W74" s="25" t="str">
        <f t="shared" si="53"/>
        <v/>
      </c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spans="1:34" x14ac:dyDescent="0.2">
      <c r="A75" s="49" t="str">
        <f t="shared" si="42"/>
        <v>Henry Holst</v>
      </c>
      <c r="B75" s="9"/>
      <c r="C75" s="9"/>
      <c r="D75" s="9"/>
      <c r="E75" s="9"/>
      <c r="F75" s="25" t="str">
        <f t="shared" ref="F75:W75" si="54">IF(ISNUMBER(F19),IF((F19-F$5)&lt;=-2,8,IF((F19-F$5)=-1,4,IF((F19-F$5)=0,2,IF((F19-F$5)=1,1,IF((F19-F$5)=2,0,-1))))),"")</f>
        <v/>
      </c>
      <c r="G75" s="25" t="str">
        <f t="shared" si="54"/>
        <v/>
      </c>
      <c r="H75" s="25" t="str">
        <f t="shared" si="54"/>
        <v/>
      </c>
      <c r="I75" s="25" t="str">
        <f t="shared" si="54"/>
        <v/>
      </c>
      <c r="J75" s="25" t="str">
        <f t="shared" si="54"/>
        <v/>
      </c>
      <c r="K75" s="25" t="str">
        <f t="shared" si="54"/>
        <v/>
      </c>
      <c r="L75" s="25" t="str">
        <f t="shared" si="54"/>
        <v/>
      </c>
      <c r="M75" s="25" t="str">
        <f t="shared" si="54"/>
        <v/>
      </c>
      <c r="N75" s="25" t="str">
        <f t="shared" si="54"/>
        <v/>
      </c>
      <c r="O75" s="25" t="str">
        <f t="shared" si="54"/>
        <v/>
      </c>
      <c r="P75" s="25" t="str">
        <f t="shared" si="54"/>
        <v/>
      </c>
      <c r="Q75" s="25" t="str">
        <f t="shared" si="54"/>
        <v/>
      </c>
      <c r="R75" s="25" t="str">
        <f t="shared" si="54"/>
        <v/>
      </c>
      <c r="S75" s="25" t="str">
        <f t="shared" si="54"/>
        <v/>
      </c>
      <c r="T75" s="25" t="str">
        <f t="shared" si="54"/>
        <v/>
      </c>
      <c r="U75" s="25" t="str">
        <f t="shared" si="54"/>
        <v/>
      </c>
      <c r="V75" s="25" t="str">
        <f t="shared" si="54"/>
        <v/>
      </c>
      <c r="W75" s="25" t="str">
        <f t="shared" si="54"/>
        <v/>
      </c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 spans="1:34" x14ac:dyDescent="0.2">
      <c r="A76" s="49" t="str">
        <f t="shared" si="42"/>
        <v>Chad Stone</v>
      </c>
      <c r="B76" s="9"/>
      <c r="C76" s="9"/>
      <c r="D76" s="9"/>
      <c r="E76" s="9"/>
      <c r="F76" s="25" t="str">
        <f t="shared" ref="F76:W76" si="55">IF(ISNUMBER(F20),IF((F20-F$5)&lt;=-2,8,IF((F20-F$5)=-1,4,IF((F20-F$5)=0,2,IF((F20-F$5)=1,1,IF((F20-F$5)=2,0,-1))))),"")</f>
        <v/>
      </c>
      <c r="G76" s="25" t="str">
        <f t="shared" si="55"/>
        <v/>
      </c>
      <c r="H76" s="25" t="str">
        <f t="shared" si="55"/>
        <v/>
      </c>
      <c r="I76" s="25" t="str">
        <f t="shared" si="55"/>
        <v/>
      </c>
      <c r="J76" s="25" t="str">
        <f t="shared" si="55"/>
        <v/>
      </c>
      <c r="K76" s="25" t="str">
        <f t="shared" si="55"/>
        <v/>
      </c>
      <c r="L76" s="25" t="str">
        <f t="shared" si="55"/>
        <v/>
      </c>
      <c r="M76" s="25" t="str">
        <f t="shared" si="55"/>
        <v/>
      </c>
      <c r="N76" s="25" t="str">
        <f t="shared" si="55"/>
        <v/>
      </c>
      <c r="O76" s="25" t="str">
        <f t="shared" si="55"/>
        <v/>
      </c>
      <c r="P76" s="25" t="str">
        <f t="shared" si="55"/>
        <v/>
      </c>
      <c r="Q76" s="25" t="str">
        <f t="shared" si="55"/>
        <v/>
      </c>
      <c r="R76" s="25" t="str">
        <f t="shared" si="55"/>
        <v/>
      </c>
      <c r="S76" s="25" t="str">
        <f t="shared" si="55"/>
        <v/>
      </c>
      <c r="T76" s="25" t="str">
        <f t="shared" si="55"/>
        <v/>
      </c>
      <c r="U76" s="25" t="str">
        <f t="shared" si="55"/>
        <v/>
      </c>
      <c r="V76" s="25" t="str">
        <f t="shared" si="55"/>
        <v/>
      </c>
      <c r="W76" s="25" t="str">
        <f t="shared" si="55"/>
        <v/>
      </c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spans="1:34" x14ac:dyDescent="0.2">
      <c r="A77" s="49" t="str">
        <f t="shared" si="42"/>
        <v>Tom Devine</v>
      </c>
      <c r="B77" s="9"/>
      <c r="C77" s="9"/>
      <c r="D77" s="9"/>
      <c r="E77" s="9"/>
      <c r="F77" s="25" t="str">
        <f t="shared" ref="F77:W77" si="56">IF(ISNUMBER(F21),IF((F21-F$5)&lt;=-2,8,IF((F21-F$5)=-1,4,IF((F21-F$5)=0,2,IF((F21-F$5)=1,1,IF((F21-F$5)=2,0,-1))))),"")</f>
        <v/>
      </c>
      <c r="G77" s="25" t="str">
        <f t="shared" si="56"/>
        <v/>
      </c>
      <c r="H77" s="25" t="str">
        <f t="shared" si="56"/>
        <v/>
      </c>
      <c r="I77" s="25" t="str">
        <f t="shared" si="56"/>
        <v/>
      </c>
      <c r="J77" s="25" t="str">
        <f t="shared" si="56"/>
        <v/>
      </c>
      <c r="K77" s="25" t="str">
        <f t="shared" si="56"/>
        <v/>
      </c>
      <c r="L77" s="25" t="str">
        <f t="shared" si="56"/>
        <v/>
      </c>
      <c r="M77" s="25" t="str">
        <f t="shared" si="56"/>
        <v/>
      </c>
      <c r="N77" s="25" t="str">
        <f t="shared" si="56"/>
        <v/>
      </c>
      <c r="O77" s="25" t="str">
        <f t="shared" si="56"/>
        <v/>
      </c>
      <c r="P77" s="25" t="str">
        <f t="shared" si="56"/>
        <v/>
      </c>
      <c r="Q77" s="25" t="str">
        <f t="shared" si="56"/>
        <v/>
      </c>
      <c r="R77" s="25" t="str">
        <f t="shared" si="56"/>
        <v/>
      </c>
      <c r="S77" s="25" t="str">
        <f t="shared" si="56"/>
        <v/>
      </c>
      <c r="T77" s="25" t="str">
        <f t="shared" si="56"/>
        <v/>
      </c>
      <c r="U77" s="25" t="str">
        <f t="shared" si="56"/>
        <v/>
      </c>
      <c r="V77" s="25" t="str">
        <f t="shared" si="56"/>
        <v/>
      </c>
      <c r="W77" s="25" t="str">
        <f t="shared" si="56"/>
        <v/>
      </c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spans="1:34" x14ac:dyDescent="0.2">
      <c r="A78" s="49" t="str">
        <f t="shared" si="42"/>
        <v>Mike Warenda</v>
      </c>
      <c r="B78" s="9"/>
      <c r="C78" s="9"/>
      <c r="D78" s="9"/>
      <c r="E78" s="9"/>
      <c r="F78" s="25" t="str">
        <f t="shared" ref="F78:W78" si="57">IF(ISNUMBER(F22),IF((F22-F$5)&lt;=-2,8,IF((F22-F$5)=-1,4,IF((F22-F$5)=0,2,IF((F22-F$5)=1,1,IF((F22-F$5)=2,0,-1))))),"")</f>
        <v/>
      </c>
      <c r="G78" s="25" t="str">
        <f t="shared" si="57"/>
        <v/>
      </c>
      <c r="H78" s="25" t="str">
        <f t="shared" si="57"/>
        <v/>
      </c>
      <c r="I78" s="25" t="str">
        <f t="shared" si="57"/>
        <v/>
      </c>
      <c r="J78" s="25" t="str">
        <f t="shared" si="57"/>
        <v/>
      </c>
      <c r="K78" s="25" t="str">
        <f t="shared" si="57"/>
        <v/>
      </c>
      <c r="L78" s="25" t="str">
        <f t="shared" si="57"/>
        <v/>
      </c>
      <c r="M78" s="25" t="str">
        <f t="shared" si="57"/>
        <v/>
      </c>
      <c r="N78" s="25" t="str">
        <f t="shared" si="57"/>
        <v/>
      </c>
      <c r="O78" s="25" t="str">
        <f t="shared" si="57"/>
        <v/>
      </c>
      <c r="P78" s="25" t="str">
        <f t="shared" si="57"/>
        <v/>
      </c>
      <c r="Q78" s="25" t="str">
        <f t="shared" si="57"/>
        <v/>
      </c>
      <c r="R78" s="25" t="str">
        <f t="shared" si="57"/>
        <v/>
      </c>
      <c r="S78" s="25" t="str">
        <f t="shared" si="57"/>
        <v/>
      </c>
      <c r="T78" s="25" t="str">
        <f t="shared" si="57"/>
        <v/>
      </c>
      <c r="U78" s="25" t="str">
        <f t="shared" si="57"/>
        <v/>
      </c>
      <c r="V78" s="25" t="str">
        <f t="shared" si="57"/>
        <v/>
      </c>
      <c r="W78" s="25" t="str">
        <f t="shared" si="57"/>
        <v/>
      </c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 spans="1:34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spans="1:34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 spans="1:34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 spans="1:34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 spans="1:34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</sheetData>
  <mergeCells count="2">
    <mergeCell ref="A2:AC2"/>
    <mergeCell ref="A1:AC1"/>
  </mergeCells>
  <conditionalFormatting sqref="F8:W22">
    <cfRule type="expression" dxfId="1" priority="1">
      <formula>AND(ISNUMBER(F8),F8&lt;=F$5-1)</formula>
    </cfRule>
    <cfRule type="expression" dxfId="0" priority="2">
      <formula>AND(ISNUMBER(F8),F8&gt;=F$5+2)</formula>
    </cfRule>
  </conditionalFormatting>
  <dataValidations count="18">
    <dataValidation type="whole" showErrorMessage="1" errorTitle="Check that score" error="Hole 1 is a par 4. Enter a score from 1 to 12." sqref="F8:F22" xr:uid="{00000000-0002-0000-0500-000000000000}">
      <formula1>1</formula1>
      <formula2>12</formula2>
    </dataValidation>
    <dataValidation type="whole" showErrorMessage="1" errorTitle="Check that score" error="Hole 2 is a par 4. Enter a score from 1 to 12." sqref="G8:G22" xr:uid="{00000000-0002-0000-0500-000001000000}">
      <formula1>1</formula1>
      <formula2>12</formula2>
    </dataValidation>
    <dataValidation type="whole" showErrorMessage="1" errorTitle="Check that score" error="Hole 3 is a par 5. Enter a score from 1 to 15." sqref="H8:H22" xr:uid="{00000000-0002-0000-0500-000002000000}">
      <formula1>1</formula1>
      <formula2>15</formula2>
    </dataValidation>
    <dataValidation type="whole" showErrorMessage="1" errorTitle="Check that score" error="Hole 4 is a par 4. Enter a score from 1 to 12." sqref="I8:I22" xr:uid="{00000000-0002-0000-0500-000003000000}">
      <formula1>1</formula1>
      <formula2>12</formula2>
    </dataValidation>
    <dataValidation type="whole" showErrorMessage="1" errorTitle="Check that score" error="Hole 5 is a par 3. Enter a score from 1 to 9." sqref="J8:J22" xr:uid="{00000000-0002-0000-0500-000004000000}">
      <formula1>1</formula1>
      <formula2>9</formula2>
    </dataValidation>
    <dataValidation type="whole" showErrorMessage="1" errorTitle="Check that score" error="Hole 6 is a par 5. Enter a score from 1 to 15." sqref="K8:K22" xr:uid="{00000000-0002-0000-0500-000005000000}">
      <formula1>1</formula1>
      <formula2>15</formula2>
    </dataValidation>
    <dataValidation type="whole" showErrorMessage="1" errorTitle="Check that score" error="Hole 7 is a par 4. Enter a score from 1 to 12." sqref="L8:L22" xr:uid="{00000000-0002-0000-0500-000006000000}">
      <formula1>1</formula1>
      <formula2>12</formula2>
    </dataValidation>
    <dataValidation type="whole" showErrorMessage="1" errorTitle="Check that score" error="Hole 8 is a par 3. Enter a score from 1 to 9." sqref="M8:M22" xr:uid="{00000000-0002-0000-0500-000007000000}">
      <formula1>1</formula1>
      <formula2>9</formula2>
    </dataValidation>
    <dataValidation type="whole" showErrorMessage="1" errorTitle="Check that score" error="Hole 9 is a par 4. Enter a score from 1 to 12." sqref="N8:N22" xr:uid="{00000000-0002-0000-0500-000008000000}">
      <formula1>1</formula1>
      <formula2>12</formula2>
    </dataValidation>
    <dataValidation type="whole" showErrorMessage="1" errorTitle="Check that score" error="Hole 10 is a par 4. Enter a score from 1 to 12." sqref="O8:O22" xr:uid="{00000000-0002-0000-0500-000009000000}">
      <formula1>1</formula1>
      <formula2>12</formula2>
    </dataValidation>
    <dataValidation type="whole" showErrorMessage="1" errorTitle="Check that score" error="Hole 11 is a par 3. Enter a score from 1 to 9." sqref="P8:P22" xr:uid="{00000000-0002-0000-0500-00000A000000}">
      <formula1>1</formula1>
      <formula2>9</formula2>
    </dataValidation>
    <dataValidation type="whole" showErrorMessage="1" errorTitle="Check that score" error="Hole 12 is a par 4. Enter a score from 1 to 12." sqref="Q8:Q22" xr:uid="{00000000-0002-0000-0500-00000B000000}">
      <formula1>1</formula1>
      <formula2>12</formula2>
    </dataValidation>
    <dataValidation type="whole" showErrorMessage="1" errorTitle="Check that score" error="Hole 13 is a par 4. Enter a score from 1 to 12." sqref="R8:R22" xr:uid="{00000000-0002-0000-0500-00000C000000}">
      <formula1>1</formula1>
      <formula2>12</formula2>
    </dataValidation>
    <dataValidation type="whole" showErrorMessage="1" errorTitle="Check that score" error="Hole 14 is a par 4. Enter a score from 1 to 12." sqref="S8:S22" xr:uid="{00000000-0002-0000-0500-00000D000000}">
      <formula1>1</formula1>
      <formula2>12</formula2>
    </dataValidation>
    <dataValidation type="whole" showErrorMessage="1" errorTitle="Check that score" error="Hole 15 is a par 5. Enter a score from 1 to 15." sqref="T8:T22" xr:uid="{00000000-0002-0000-0500-00000E000000}">
      <formula1>1</formula1>
      <formula2>15</formula2>
    </dataValidation>
    <dataValidation type="whole" showErrorMessage="1" errorTitle="Check that score" error="Hole 16 is a par 3. Enter a score from 1 to 9." sqref="U8:U22" xr:uid="{00000000-0002-0000-0500-00000F000000}">
      <formula1>1</formula1>
      <formula2>9</formula2>
    </dataValidation>
    <dataValidation type="whole" showErrorMessage="1" errorTitle="Check that score" error="Hole 17 is a par 4. Enter a score from 1 to 12." sqref="V8:V22" xr:uid="{00000000-0002-0000-0500-000010000000}">
      <formula1>1</formula1>
      <formula2>12</formula2>
    </dataValidation>
    <dataValidation type="whole" showErrorMessage="1" errorTitle="Check that score" error="Hole 18 is a par 5. Enter a score from 1 to 15." sqref="W8:W22" xr:uid="{00000000-0002-0000-0500-000011000000}">
      <formula1>1</formula1>
      <formula2>15</formula2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H29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26" customWidth="1"/>
    <col min="3" max="3" width="11" customWidth="1"/>
    <col min="4" max="4" width="20" customWidth="1"/>
    <col min="5" max="5" width="3" customWidth="1"/>
    <col min="6" max="6" width="26" customWidth="1"/>
  </cols>
  <sheetData>
    <row r="1" spans="1:8" ht="26" customHeight="1" x14ac:dyDescent="0.2">
      <c r="A1" s="52" t="s">
        <v>130</v>
      </c>
      <c r="B1" s="53"/>
      <c r="C1" s="53"/>
      <c r="D1" s="53"/>
      <c r="E1" s="53"/>
      <c r="F1" s="53"/>
      <c r="G1" s="9"/>
      <c r="H1" s="9"/>
    </row>
    <row r="2" spans="1:8" x14ac:dyDescent="0.2">
      <c r="A2" s="54" t="s">
        <v>131</v>
      </c>
      <c r="B2" s="53"/>
      <c r="C2" s="53"/>
      <c r="D2" s="53"/>
      <c r="E2" s="53"/>
      <c r="F2" s="53"/>
      <c r="G2" s="9"/>
      <c r="H2" s="9"/>
    </row>
    <row r="3" spans="1:8" x14ac:dyDescent="0.2">
      <c r="A3" s="9"/>
      <c r="B3" s="9"/>
      <c r="C3" s="9"/>
      <c r="D3" s="9"/>
      <c r="E3" s="9"/>
      <c r="F3" s="9"/>
      <c r="G3" s="9"/>
      <c r="H3" s="9"/>
    </row>
    <row r="4" spans="1:8" x14ac:dyDescent="0.2">
      <c r="A4" s="15" t="s">
        <v>18</v>
      </c>
      <c r="B4" s="15" t="s">
        <v>11</v>
      </c>
      <c r="C4" s="15" t="s">
        <v>132</v>
      </c>
      <c r="D4" s="15" t="s">
        <v>133</v>
      </c>
      <c r="E4" s="9"/>
      <c r="F4" s="15" t="s">
        <v>134</v>
      </c>
      <c r="G4" s="9"/>
      <c r="H4" s="9"/>
    </row>
    <row r="5" spans="1:8" x14ac:dyDescent="0.2">
      <c r="A5" s="26" t="s">
        <v>135</v>
      </c>
      <c r="B5" s="26" t="s">
        <v>136</v>
      </c>
      <c r="C5" s="13">
        <v>8</v>
      </c>
      <c r="D5" s="12">
        <f t="shared" ref="D5:D19" si="0">MAX(0,C5-$C$21)</f>
        <v>0</v>
      </c>
      <c r="E5" s="9"/>
      <c r="F5" s="26" t="s">
        <v>136</v>
      </c>
      <c r="G5" s="9"/>
      <c r="H5" s="9"/>
    </row>
    <row r="6" spans="1:8" x14ac:dyDescent="0.2">
      <c r="A6" s="26" t="s">
        <v>137</v>
      </c>
      <c r="B6" s="26" t="s">
        <v>136</v>
      </c>
      <c r="C6" s="13">
        <v>16</v>
      </c>
      <c r="D6" s="12">
        <f t="shared" si="0"/>
        <v>8</v>
      </c>
      <c r="E6" s="9"/>
      <c r="F6" s="26" t="s">
        <v>138</v>
      </c>
      <c r="G6" s="9"/>
      <c r="H6" s="9"/>
    </row>
    <row r="7" spans="1:8" x14ac:dyDescent="0.2">
      <c r="A7" s="26" t="s">
        <v>139</v>
      </c>
      <c r="B7" s="26" t="s">
        <v>136</v>
      </c>
      <c r="C7" s="13">
        <v>19</v>
      </c>
      <c r="D7" s="12">
        <f t="shared" si="0"/>
        <v>11</v>
      </c>
      <c r="E7" s="9"/>
      <c r="F7" s="26" t="s">
        <v>140</v>
      </c>
      <c r="G7" s="9"/>
      <c r="H7" s="9"/>
    </row>
    <row r="8" spans="1:8" x14ac:dyDescent="0.2">
      <c r="A8" s="26" t="s">
        <v>141</v>
      </c>
      <c r="B8" s="26" t="s">
        <v>138</v>
      </c>
      <c r="C8" s="13">
        <v>24</v>
      </c>
      <c r="D8" s="12">
        <f t="shared" si="0"/>
        <v>16</v>
      </c>
      <c r="E8" s="9"/>
      <c r="F8" s="26" t="s">
        <v>142</v>
      </c>
      <c r="G8" s="9"/>
      <c r="H8" s="9"/>
    </row>
    <row r="9" spans="1:8" x14ac:dyDescent="0.2">
      <c r="A9" s="26" t="s">
        <v>143</v>
      </c>
      <c r="B9" s="26" t="s">
        <v>138</v>
      </c>
      <c r="C9" s="13">
        <v>17</v>
      </c>
      <c r="D9" s="12">
        <f t="shared" si="0"/>
        <v>9</v>
      </c>
      <c r="E9" s="9"/>
      <c r="F9" s="26" t="s">
        <v>144</v>
      </c>
      <c r="G9" s="9"/>
      <c r="H9" s="9"/>
    </row>
    <row r="10" spans="1:8" x14ac:dyDescent="0.2">
      <c r="A10" s="26" t="s">
        <v>145</v>
      </c>
      <c r="B10" s="26" t="s">
        <v>138</v>
      </c>
      <c r="C10" s="13">
        <v>9</v>
      </c>
      <c r="D10" s="12">
        <f t="shared" si="0"/>
        <v>1</v>
      </c>
      <c r="E10" s="9"/>
      <c r="F10" s="9"/>
      <c r="G10" s="9"/>
      <c r="H10" s="9"/>
    </row>
    <row r="11" spans="1:8" x14ac:dyDescent="0.2">
      <c r="A11" s="26" t="s">
        <v>146</v>
      </c>
      <c r="B11" s="26" t="s">
        <v>140</v>
      </c>
      <c r="C11" s="13">
        <v>18</v>
      </c>
      <c r="D11" s="12">
        <f t="shared" si="0"/>
        <v>10</v>
      </c>
      <c r="E11" s="9"/>
      <c r="F11" s="9"/>
      <c r="G11" s="9"/>
      <c r="H11" s="9"/>
    </row>
    <row r="12" spans="1:8" x14ac:dyDescent="0.2">
      <c r="A12" s="26" t="s">
        <v>147</v>
      </c>
      <c r="B12" s="26" t="s">
        <v>140</v>
      </c>
      <c r="C12" s="13">
        <v>30</v>
      </c>
      <c r="D12" s="12">
        <f t="shared" si="0"/>
        <v>22</v>
      </c>
      <c r="E12" s="9"/>
      <c r="F12" s="9"/>
      <c r="G12" s="9"/>
      <c r="H12" s="9"/>
    </row>
    <row r="13" spans="1:8" x14ac:dyDescent="0.2">
      <c r="A13" s="26" t="s">
        <v>148</v>
      </c>
      <c r="B13" s="26" t="s">
        <v>140</v>
      </c>
      <c r="C13" s="13">
        <v>19</v>
      </c>
      <c r="D13" s="12">
        <f t="shared" si="0"/>
        <v>11</v>
      </c>
      <c r="E13" s="9"/>
      <c r="F13" s="9"/>
      <c r="G13" s="9"/>
      <c r="H13" s="9"/>
    </row>
    <row r="14" spans="1:8" x14ac:dyDescent="0.2">
      <c r="A14" s="26" t="s">
        <v>149</v>
      </c>
      <c r="B14" s="26" t="s">
        <v>142</v>
      </c>
      <c r="C14" s="13">
        <v>21</v>
      </c>
      <c r="D14" s="12">
        <f t="shared" si="0"/>
        <v>13</v>
      </c>
      <c r="E14" s="9"/>
      <c r="F14" s="9"/>
      <c r="G14" s="9"/>
      <c r="H14" s="9"/>
    </row>
    <row r="15" spans="1:8" x14ac:dyDescent="0.2">
      <c r="A15" s="26" t="s">
        <v>150</v>
      </c>
      <c r="B15" s="26" t="s">
        <v>142</v>
      </c>
      <c r="C15" s="13">
        <v>21</v>
      </c>
      <c r="D15" s="12">
        <f t="shared" si="0"/>
        <v>13</v>
      </c>
      <c r="E15" s="9"/>
      <c r="F15" s="9"/>
      <c r="G15" s="9"/>
      <c r="H15" s="9"/>
    </row>
    <row r="16" spans="1:8" x14ac:dyDescent="0.2">
      <c r="A16" s="26" t="s">
        <v>151</v>
      </c>
      <c r="B16" s="26" t="s">
        <v>142</v>
      </c>
      <c r="C16" s="13">
        <v>19</v>
      </c>
      <c r="D16" s="12">
        <f t="shared" si="0"/>
        <v>11</v>
      </c>
      <c r="E16" s="9"/>
      <c r="F16" s="9"/>
      <c r="G16" s="9"/>
      <c r="H16" s="9"/>
    </row>
    <row r="17" spans="1:8" x14ac:dyDescent="0.2">
      <c r="A17" s="26" t="s">
        <v>152</v>
      </c>
      <c r="B17" s="26" t="s">
        <v>144</v>
      </c>
      <c r="C17" s="13">
        <v>23</v>
      </c>
      <c r="D17" s="12">
        <f t="shared" si="0"/>
        <v>15</v>
      </c>
      <c r="E17" s="9"/>
      <c r="F17" s="9"/>
      <c r="G17" s="9"/>
      <c r="H17" s="9"/>
    </row>
    <row r="18" spans="1:8" x14ac:dyDescent="0.2">
      <c r="A18" s="26" t="s">
        <v>153</v>
      </c>
      <c r="B18" s="26" t="s">
        <v>144</v>
      </c>
      <c r="C18" s="13">
        <v>17</v>
      </c>
      <c r="D18" s="12">
        <f t="shared" si="0"/>
        <v>9</v>
      </c>
      <c r="E18" s="9"/>
      <c r="F18" s="9"/>
      <c r="G18" s="9"/>
      <c r="H18" s="9"/>
    </row>
    <row r="19" spans="1:8" x14ac:dyDescent="0.2">
      <c r="A19" s="26" t="s">
        <v>154</v>
      </c>
      <c r="B19" s="26" t="s">
        <v>144</v>
      </c>
      <c r="C19" s="13">
        <v>21</v>
      </c>
      <c r="D19" s="12">
        <f t="shared" si="0"/>
        <v>13</v>
      </c>
      <c r="E19" s="9"/>
      <c r="F19" s="9"/>
      <c r="G19" s="9"/>
      <c r="H19" s="9"/>
    </row>
    <row r="20" spans="1:8" x14ac:dyDescent="0.2">
      <c r="A20" s="9"/>
      <c r="B20" s="9"/>
      <c r="C20" s="9"/>
      <c r="D20" s="9"/>
      <c r="E20" s="9"/>
      <c r="F20" s="9"/>
      <c r="G20" s="9"/>
      <c r="H20" s="9"/>
    </row>
    <row r="21" spans="1:8" x14ac:dyDescent="0.2">
      <c r="A21" s="9"/>
      <c r="B21" s="11" t="s">
        <v>155</v>
      </c>
      <c r="C21" s="11">
        <f>MIN(C5:C19)</f>
        <v>8</v>
      </c>
      <c r="D21" s="9"/>
      <c r="E21" s="9"/>
      <c r="F21" s="9"/>
      <c r="G21" s="9"/>
      <c r="H21" s="9"/>
    </row>
    <row r="22" spans="1:8" x14ac:dyDescent="0.2">
      <c r="A22" s="9"/>
      <c r="B22" s="9"/>
      <c r="C22" s="9"/>
      <c r="D22" s="9"/>
      <c r="E22" s="9"/>
      <c r="F22" s="9"/>
      <c r="G22" s="9"/>
      <c r="H22" s="9"/>
    </row>
    <row r="23" spans="1:8" x14ac:dyDescent="0.2">
      <c r="A23" s="50" t="s">
        <v>156</v>
      </c>
      <c r="B23" s="9"/>
      <c r="C23" s="9"/>
      <c r="D23" s="9"/>
      <c r="E23" s="9"/>
      <c r="F23" s="9"/>
      <c r="G23" s="9"/>
      <c r="H23" s="9"/>
    </row>
    <row r="24" spans="1:8" x14ac:dyDescent="0.2">
      <c r="A24" s="50" t="s">
        <v>157</v>
      </c>
      <c r="B24" s="9"/>
      <c r="C24" s="9"/>
      <c r="D24" s="9"/>
      <c r="E24" s="9"/>
      <c r="F24" s="9"/>
      <c r="G24" s="9"/>
      <c r="H24" s="9"/>
    </row>
    <row r="25" spans="1:8" x14ac:dyDescent="0.2">
      <c r="A25" s="9"/>
      <c r="B25" s="9"/>
      <c r="C25" s="9"/>
      <c r="D25" s="9"/>
      <c r="E25" s="9"/>
      <c r="F25" s="9"/>
      <c r="G25" s="9"/>
      <c r="H25" s="9"/>
    </row>
    <row r="26" spans="1:8" x14ac:dyDescent="0.2">
      <c r="A26" s="9"/>
      <c r="B26" s="9"/>
      <c r="C26" s="9"/>
      <c r="D26" s="9"/>
      <c r="E26" s="9"/>
      <c r="F26" s="9"/>
      <c r="G26" s="9"/>
      <c r="H26" s="9"/>
    </row>
    <row r="27" spans="1:8" x14ac:dyDescent="0.2">
      <c r="A27" s="9"/>
      <c r="B27" s="9"/>
      <c r="C27" s="9"/>
      <c r="D27" s="9"/>
      <c r="E27" s="9"/>
      <c r="F27" s="9"/>
      <c r="G27" s="9"/>
      <c r="H27" s="9"/>
    </row>
    <row r="28" spans="1:8" x14ac:dyDescent="0.2">
      <c r="A28" s="9"/>
      <c r="B28" s="9"/>
      <c r="C28" s="9"/>
      <c r="D28" s="9"/>
      <c r="E28" s="9"/>
      <c r="F28" s="9"/>
      <c r="G28" s="9"/>
      <c r="H28" s="9"/>
    </row>
    <row r="29" spans="1:8" x14ac:dyDescent="0.2">
      <c r="A29" s="9"/>
      <c r="B29" s="9"/>
      <c r="C29" s="9"/>
      <c r="D29" s="9"/>
      <c r="E29" s="9"/>
      <c r="F29" s="9"/>
      <c r="G29" s="9"/>
      <c r="H29" s="9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How To Use</vt:lpstr>
      <vt:lpstr>Leaderboard</vt:lpstr>
      <vt:lpstr>Skins</vt:lpstr>
      <vt:lpstr>R1 Watson</vt:lpstr>
      <vt:lpstr>R2 Palmer</vt:lpstr>
      <vt:lpstr>R3 Nicklaus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Young</cp:lastModifiedBy>
  <dcterms:created xsi:type="dcterms:W3CDTF">2026-10-28T19:00:21Z</dcterms:created>
  <dcterms:modified xsi:type="dcterms:W3CDTF">2026-10-28T19:01:26Z</dcterms:modified>
</cp:coreProperties>
</file>